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eeca80bcbc2c49e/Documents/"/>
    </mc:Choice>
  </mc:AlternateContent>
  <xr:revisionPtr revIDLastSave="0" documentId="8_{2B821EDC-D080-4909-8E53-622A563944A6}" xr6:coauthVersionLast="47" xr6:coauthVersionMax="47" xr10:uidLastSave="{00000000-0000-0000-0000-000000000000}"/>
  <bookViews>
    <workbookView xWindow="-108" yWindow="-108" windowWidth="23256" windowHeight="12456" xr2:uid="{89DD0D31-4CFF-434B-BCC5-5DC1506155A2}"/>
  </bookViews>
  <sheets>
    <sheet name="Guru kirpa beverage invoice bil" sheetId="5" r:id="rId1"/>
    <sheet name="Zeera Bill" sheetId="6" r:id="rId2"/>
    <sheet name="Bill detail" sheetId="3" r:id="rId3"/>
    <sheet name="Guru Kirpa Customer Form" sheetId="9" r:id="rId4"/>
    <sheet name="Customer address" sheetId="2" r:id="rId5"/>
    <sheet name="Customer detail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4" l="1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42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B43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A288" i="4"/>
  <c r="A43" i="4"/>
  <c r="C43" i="4" s="1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B42" i="4"/>
  <c r="A42" i="4"/>
  <c r="C42" i="4" s="1"/>
  <c r="A11" i="5" s="1"/>
  <c r="A35" i="5" s="1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42" i="2"/>
  <c r="C43" i="2"/>
  <c r="C44" i="2"/>
  <c r="C45" i="2"/>
  <c r="C42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B39" i="5"/>
  <c r="C14" i="5"/>
  <c r="F2" i="5"/>
  <c r="D40" i="5"/>
  <c r="F17" i="5"/>
  <c r="F41" i="5" s="1"/>
  <c r="D41" i="5"/>
  <c r="B41" i="5"/>
  <c r="C27" i="6"/>
  <c r="C45" i="6" s="1"/>
  <c r="D39" i="6"/>
  <c r="E15" i="6"/>
  <c r="E39" i="6" s="1"/>
  <c r="E16" i="6"/>
  <c r="E40" i="6" s="1"/>
  <c r="B30" i="3"/>
  <c r="B31" i="3" s="1"/>
  <c r="E27" i="6"/>
  <c r="E45" i="6" s="1"/>
  <c r="D27" i="6"/>
  <c r="D45" i="6" s="1"/>
  <c r="D38" i="6"/>
  <c r="D40" i="6"/>
  <c r="B40" i="6"/>
  <c r="B39" i="6"/>
  <c r="B38" i="6"/>
  <c r="E21" i="6"/>
  <c r="E22" i="6"/>
  <c r="E20" i="6"/>
  <c r="D24" i="6"/>
  <c r="F14" i="6"/>
  <c r="F38" i="6" s="1"/>
  <c r="F15" i="6"/>
  <c r="F39" i="6" s="1"/>
  <c r="F16" i="6"/>
  <c r="F40" i="6" s="1"/>
  <c r="C16" i="6"/>
  <c r="C40" i="6" s="1"/>
  <c r="C15" i="6"/>
  <c r="C39" i="6" s="1"/>
  <c r="C14" i="6"/>
  <c r="C38" i="6" s="1"/>
  <c r="A14" i="6"/>
  <c r="A38" i="6" s="1"/>
  <c r="A16" i="6"/>
  <c r="A40" i="6" s="1"/>
  <c r="E14" i="6"/>
  <c r="G14" i="6" s="1"/>
  <c r="A15" i="6"/>
  <c r="A39" i="6" s="1"/>
  <c r="A41" i="6"/>
  <c r="G35" i="6"/>
  <c r="E32" i="6"/>
  <c r="C32" i="6"/>
  <c r="A32" i="6"/>
  <c r="D22" i="6"/>
  <c r="C21" i="6"/>
  <c r="D20" i="6"/>
  <c r="E18" i="6"/>
  <c r="G18" i="6" s="1"/>
  <c r="C18" i="6"/>
  <c r="E17" i="6"/>
  <c r="G17" i="6" s="1"/>
  <c r="C17" i="6"/>
  <c r="A17" i="6"/>
  <c r="A11" i="6"/>
  <c r="A35" i="6" s="1"/>
  <c r="A10" i="6"/>
  <c r="A34" i="6" s="1"/>
  <c r="A9" i="6"/>
  <c r="A33" i="6" s="1"/>
  <c r="F2" i="6"/>
  <c r="C15" i="5"/>
  <c r="C16" i="5"/>
  <c r="F15" i="5"/>
  <c r="F16" i="5"/>
  <c r="A41" i="5"/>
  <c r="A40" i="5"/>
  <c r="A39" i="5"/>
  <c r="A38" i="5"/>
  <c r="A14" i="5"/>
  <c r="A17" i="5"/>
  <c r="A16" i="5"/>
  <c r="A15" i="5"/>
  <c r="C32" i="5"/>
  <c r="B40" i="5"/>
  <c r="C40" i="5" s="1"/>
  <c r="G35" i="5"/>
  <c r="E32" i="5"/>
  <c r="D39" i="5"/>
  <c r="D38" i="5"/>
  <c r="E39" i="5"/>
  <c r="B38" i="5"/>
  <c r="E38" i="5" s="1"/>
  <c r="A32" i="5"/>
  <c r="F14" i="5"/>
  <c r="E15" i="5"/>
  <c r="G15" i="5" s="1"/>
  <c r="E16" i="5"/>
  <c r="G16" i="5" s="1"/>
  <c r="E17" i="5"/>
  <c r="G17" i="5" s="1"/>
  <c r="E18" i="5"/>
  <c r="G18" i="5" s="1"/>
  <c r="E14" i="5"/>
  <c r="G14" i="5" s="1"/>
  <c r="D24" i="5"/>
  <c r="A9" i="5"/>
  <c r="A33" i="5" s="1"/>
  <c r="A10" i="5" l="1"/>
  <c r="A34" i="5" s="1"/>
  <c r="B20" i="5"/>
  <c r="B22" i="5"/>
  <c r="G41" i="5"/>
  <c r="B21" i="5"/>
  <c r="G38" i="6"/>
  <c r="D28" i="6"/>
  <c r="E28" i="6"/>
  <c r="E38" i="6"/>
  <c r="E41" i="5"/>
  <c r="D43" i="6"/>
  <c r="G16" i="6"/>
  <c r="G15" i="6"/>
  <c r="E40" i="5"/>
  <c r="G40" i="5" s="1"/>
  <c r="F40" i="5"/>
  <c r="G38" i="5"/>
  <c r="D43" i="5"/>
  <c r="G39" i="5"/>
  <c r="F38" i="5"/>
  <c r="C38" i="5"/>
  <c r="F39" i="5"/>
  <c r="C39" i="5"/>
  <c r="C18" i="5"/>
  <c r="C17" i="5"/>
  <c r="C41" i="5" s="1"/>
  <c r="C27" i="5" l="1"/>
  <c r="C28" i="5" s="1"/>
  <c r="E20" i="5"/>
  <c r="G20" i="5" s="1"/>
  <c r="D27" i="5"/>
  <c r="E21" i="5"/>
  <c r="G21" i="5" s="1"/>
  <c r="E27" i="5"/>
  <c r="E22" i="5"/>
  <c r="G22" i="5" s="1"/>
  <c r="G40" i="6"/>
  <c r="E46" i="6"/>
  <c r="D46" i="6"/>
  <c r="C28" i="6"/>
  <c r="C46" i="6" s="1"/>
  <c r="G22" i="6"/>
  <c r="G39" i="6"/>
  <c r="G21" i="6"/>
  <c r="G20" i="6"/>
  <c r="G43" i="5"/>
  <c r="C29" i="6"/>
  <c r="G43" i="6" l="1"/>
  <c r="D45" i="5"/>
  <c r="D28" i="5"/>
  <c r="D46" i="5" s="1"/>
  <c r="E45" i="5"/>
  <c r="E28" i="5"/>
  <c r="E46" i="5" s="1"/>
  <c r="F28" i="5"/>
  <c r="F46" i="5" s="1"/>
  <c r="G24" i="5"/>
  <c r="C45" i="5"/>
  <c r="C46" i="5"/>
  <c r="F28" i="6"/>
  <c r="F46" i="6" s="1"/>
  <c r="G24" i="6"/>
  <c r="A26" i="6"/>
  <c r="C29" i="5"/>
  <c r="C47" i="5"/>
  <c r="A26" i="5"/>
  <c r="G46" i="6" l="1"/>
  <c r="G46" i="5"/>
  <c r="G28" i="5"/>
  <c r="G28" i="6"/>
  <c r="C44" i="6"/>
  <c r="C44" i="5"/>
</calcChain>
</file>

<file path=xl/sharedStrings.xml><?xml version="1.0" encoding="utf-8"?>
<sst xmlns="http://schemas.openxmlformats.org/spreadsheetml/2006/main" count="446" uniqueCount="197">
  <si>
    <t>Guru Kirpa Beverage</t>
  </si>
  <si>
    <t>S.</t>
  </si>
  <si>
    <t>No.</t>
  </si>
  <si>
    <t>HSN</t>
  </si>
  <si>
    <t>Code</t>
  </si>
  <si>
    <t>Rate</t>
  </si>
  <si>
    <t>Amount</t>
  </si>
  <si>
    <t>CGST</t>
  </si>
  <si>
    <t>SGST</t>
  </si>
  <si>
    <t>Dharmpal Bansal</t>
  </si>
  <si>
    <t xml:space="preserve">Jathlana </t>
  </si>
  <si>
    <t>M/S Shivgan Trading Co.</t>
  </si>
  <si>
    <t>Tejli, Yamunanagar</t>
  </si>
  <si>
    <t xml:space="preserve">Bajarang Kiryana  </t>
  </si>
  <si>
    <t xml:space="preserve">Nalagarh,Nawan Nagar </t>
  </si>
  <si>
    <t xml:space="preserve">M/s Shacdeva Trader </t>
  </si>
  <si>
    <t xml:space="preserve">Drazpur , Railway Station </t>
  </si>
  <si>
    <t xml:space="preserve">Shubham Bansal </t>
  </si>
  <si>
    <t>Pehwa</t>
  </si>
  <si>
    <t>Vatika Punjabi Dhaba</t>
  </si>
  <si>
    <t>Kala Amb</t>
  </si>
  <si>
    <t>Jai Maa Confectionery And Genral Store</t>
  </si>
  <si>
    <t>Bitu Cold Drinks</t>
  </si>
  <si>
    <t>Yagya Enterprises</t>
  </si>
  <si>
    <t xml:space="preserve">Mullana </t>
  </si>
  <si>
    <t>Akshay Trading Company</t>
  </si>
  <si>
    <t>Adhoya Road, Brara</t>
  </si>
  <si>
    <t>Dhingra Agencies</t>
  </si>
  <si>
    <t>Fountain Chowk , Naraingarh</t>
  </si>
  <si>
    <t>Parvinder Singh</t>
  </si>
  <si>
    <t>Kacha Bazar , Ambala Cantt</t>
  </si>
  <si>
    <t>M/S  Tesla Beverages</t>
  </si>
  <si>
    <t>Noor Trading Company</t>
  </si>
  <si>
    <t>Mission House,Near Sadhu Mandi,Krukshetra</t>
  </si>
  <si>
    <t>Total</t>
  </si>
  <si>
    <t>Amit Kumar</t>
  </si>
  <si>
    <t>Khanna Place,Ambala City</t>
  </si>
  <si>
    <t>Ravinder Kumar</t>
  </si>
  <si>
    <t>Bhisangarh,Krukshetra,Harayana</t>
  </si>
  <si>
    <t>250ml Water</t>
  </si>
  <si>
    <t>1ltr Water</t>
  </si>
  <si>
    <t>Ambala City</t>
  </si>
  <si>
    <t>Jasminder Singh</t>
  </si>
  <si>
    <t>Product</t>
  </si>
  <si>
    <t>500ml Water</t>
  </si>
  <si>
    <t>600ml Soda(4*3)</t>
  </si>
  <si>
    <t>HSN Code</t>
  </si>
  <si>
    <t>Rohit Dawar</t>
  </si>
  <si>
    <t>Shiv Shakti Cold-Drink</t>
  </si>
  <si>
    <t>Sandeep Kumar</t>
  </si>
  <si>
    <t>M/S Shree Lal Ji Enterprises</t>
  </si>
  <si>
    <t>Shree Lal Ji Enterprises</t>
  </si>
  <si>
    <t>Ashok Kumar</t>
  </si>
  <si>
    <t>M/S Bhagwati Trading Company</t>
  </si>
  <si>
    <t>Ashish Trading Company</t>
  </si>
  <si>
    <t>Sharama Traders</t>
  </si>
  <si>
    <t>Evergreen Trading Company</t>
  </si>
  <si>
    <t>Shivgan Trader</t>
  </si>
  <si>
    <t>Ishan Khurana</t>
  </si>
  <si>
    <t>Rajat Bajaj</t>
  </si>
  <si>
    <t>Dilip Kariyana Store</t>
  </si>
  <si>
    <t>Kiran egg store</t>
  </si>
  <si>
    <t>Mahadev Trading company</t>
  </si>
  <si>
    <t>Kalka</t>
  </si>
  <si>
    <t>Pinjore Distt Panchkula</t>
  </si>
  <si>
    <t>Digg,Shahbad</t>
  </si>
  <si>
    <t>Sadhaura</t>
  </si>
  <si>
    <t xml:space="preserve">Bilaspur  </t>
  </si>
  <si>
    <t>Ladwa</t>
  </si>
  <si>
    <t>Naraingarh</t>
  </si>
  <si>
    <t>Dhand</t>
  </si>
  <si>
    <t>Tejali</t>
  </si>
  <si>
    <t>Bhambholi</t>
  </si>
  <si>
    <t>Milapnagar,Ambala</t>
  </si>
  <si>
    <t>Pipli,Krukshetra</t>
  </si>
  <si>
    <t>Nawan Nagar, Pinjore, Kalka</t>
  </si>
  <si>
    <t>Baddi Sai Road, Code No.02</t>
  </si>
  <si>
    <t>Sai Road , Baddi ,Solan,H.P.</t>
  </si>
  <si>
    <t>Babain</t>
  </si>
  <si>
    <t>Gangoh Khalsa, District-Saharanpur,U.P.</t>
  </si>
  <si>
    <t xml:space="preserve">Ambala   </t>
  </si>
  <si>
    <t>Chutmalpur,Saharanpur,U.P.,Code No.09</t>
  </si>
  <si>
    <t>GURU KIRPA BEVERAGES</t>
  </si>
  <si>
    <t>Khasra No.354/1, Khewat No.55/85</t>
  </si>
  <si>
    <t>Vill.Malikpur,Amabala,Haryana</t>
  </si>
  <si>
    <t>GST No.06DQGPK1666H1ZR</t>
  </si>
  <si>
    <t>State Name: Haryana, Code No.06</t>
  </si>
  <si>
    <t>Buyer</t>
  </si>
  <si>
    <t>Date &amp; Time</t>
  </si>
  <si>
    <t>Moter Vehicle No.</t>
  </si>
  <si>
    <t>Quantity</t>
  </si>
  <si>
    <t>Per</t>
  </si>
  <si>
    <t>Description of Goods</t>
  </si>
  <si>
    <t>Terms and Conditions:</t>
  </si>
  <si>
    <t>1.Goods Once Sold Will Not Be Taken Back.</t>
  </si>
  <si>
    <t>2.All Disputes will be settled in Ambala.</t>
  </si>
  <si>
    <t xml:space="preserve">3.Our Responsibility Ceases as soon as goods leaves our </t>
  </si>
  <si>
    <t>Premises.</t>
  </si>
  <si>
    <r>
      <t xml:space="preserve">                              </t>
    </r>
    <r>
      <rPr>
        <sz val="9"/>
        <color theme="1"/>
        <rFont val="Calibri Light"/>
        <family val="2"/>
        <scheme val="major"/>
      </rPr>
      <t xml:space="preserve">   Authorized Signature</t>
    </r>
  </si>
  <si>
    <t xml:space="preserve">                         FOR GURU KIRPA BEVERAGE</t>
  </si>
  <si>
    <t>IGST</t>
  </si>
  <si>
    <t>GST No.06AWHPG3709M1ZE</t>
  </si>
  <si>
    <t>GST No.06BGYPK8395K1Z9</t>
  </si>
  <si>
    <t>GST No.06BYVPK6489B1ZV</t>
  </si>
  <si>
    <t>GST No.06BWMPS2629J1ZI</t>
  </si>
  <si>
    <t>GST No.06BASPK5060KIZB</t>
  </si>
  <si>
    <t>GST No.06AKYPK6500F1Z1</t>
  </si>
  <si>
    <t>GST No.09GAKPS1721L1Z6</t>
  </si>
  <si>
    <t>GST No.O6BWYPK0663A1ZI</t>
  </si>
  <si>
    <t>GST No.O6AHOPV2047D1Z9</t>
  </si>
  <si>
    <t>GST No.O6AAXPO4379F1Z2</t>
  </si>
  <si>
    <t>GST No.06AFMPL2810A1Z0</t>
  </si>
  <si>
    <t>GST No.02DCOPK1565B1ZY</t>
  </si>
  <si>
    <t>GST No.06AAXPO4379F1Z2</t>
  </si>
  <si>
    <t>Adhar No.380434710951</t>
  </si>
  <si>
    <t>GST No.06BQUPK6361D1ZL</t>
  </si>
  <si>
    <t>Adhar No.599953258114</t>
  </si>
  <si>
    <t>GST No.06DVPPK9746C1Z5</t>
  </si>
  <si>
    <t>GST No.02CGRPM4079G1Z5</t>
  </si>
  <si>
    <t>GST No.06AFFPD9380N1Z1</t>
  </si>
  <si>
    <t>GST No.06CETPM9576G1ZN</t>
  </si>
  <si>
    <t>GST No.06AFQPK0072H1ZH</t>
  </si>
  <si>
    <t>GST No.06BASPK5167P1ZT</t>
  </si>
  <si>
    <t>Adhar No.424403569394</t>
  </si>
  <si>
    <t>GST No.06AZQPK2655Q1ZK</t>
  </si>
  <si>
    <t>GST No.06GNHPK5226G1ZZ</t>
  </si>
  <si>
    <t>GST No.09CYZPA9197F1ZJ</t>
  </si>
  <si>
    <t>GST No.06BSMPN3517Q1Z3</t>
  </si>
  <si>
    <t>Adhar No.794647604289</t>
  </si>
  <si>
    <t>Adhar No.264490317935</t>
  </si>
  <si>
    <t>Adhar No.933977466115</t>
  </si>
  <si>
    <t>Adhar No.636146676689</t>
  </si>
  <si>
    <t>Adhar No.758512779114</t>
  </si>
  <si>
    <t>Adhar No.962808243822</t>
  </si>
  <si>
    <t>Adhar No.836937933722</t>
  </si>
  <si>
    <t>Adhar No.338719460205</t>
  </si>
  <si>
    <t>State Name: Haryana , Code No.06</t>
  </si>
  <si>
    <t>State Name: Uttar Pardesh , Code No.09</t>
  </si>
  <si>
    <t>State Name: Himachal Pardesh, Code No.02</t>
  </si>
  <si>
    <t>box</t>
  </si>
  <si>
    <t>Amount Chargeable in Words</t>
  </si>
  <si>
    <t>Moter Vechile No.</t>
  </si>
  <si>
    <r>
      <t xml:space="preserve">                 </t>
    </r>
    <r>
      <rPr>
        <sz val="10"/>
        <color theme="1"/>
        <rFont val="Calibri Light"/>
        <family val="2"/>
        <scheme val="major"/>
      </rPr>
      <t xml:space="preserve">  Authorized Signature</t>
    </r>
  </si>
  <si>
    <t xml:space="preserve">                     For GURU KIRPA BEVERAGE</t>
  </si>
  <si>
    <t>By</t>
  </si>
  <si>
    <t>GST.06DQGPK1666H1ZR</t>
  </si>
  <si>
    <t>Vill. Malikpur,Ambala</t>
  </si>
  <si>
    <t>Tax Type</t>
  </si>
  <si>
    <t>Amount After Tax</t>
  </si>
  <si>
    <t>CGST 9%</t>
  </si>
  <si>
    <t>SGST 9%</t>
  </si>
  <si>
    <t>IGST 18%</t>
  </si>
  <si>
    <t>(Add) Tax:</t>
  </si>
  <si>
    <t xml:space="preserve">                                                            Invoice Bill Duplicate Copy By Guru Kirpa Beverage</t>
  </si>
  <si>
    <t>Tax</t>
  </si>
  <si>
    <t>Total Amount Tax in Words:</t>
  </si>
  <si>
    <t xml:space="preserve">Amount Chargeable in words(After Tax): </t>
  </si>
  <si>
    <t>Shiv Shakti Cold--Drinks</t>
  </si>
  <si>
    <t>Dyal Trading Company</t>
  </si>
  <si>
    <t>GST No.03EURPS0191B1ZN</t>
  </si>
  <si>
    <t>State Name:Punjab,PIN Code No.140501</t>
  </si>
  <si>
    <t>SAS Nagar,Lalru,Ballopur Road,Near Pertrol Pump</t>
  </si>
  <si>
    <t>Shree Radhey Shyam Trading Company</t>
  </si>
  <si>
    <t>Bhagat Singh Colony,Kaithal,Near New Bus Stand</t>
  </si>
  <si>
    <t>UDHYAM No.:UDHYAM-HR-09-0039053</t>
  </si>
  <si>
    <t>600ml Soda(5*4)</t>
  </si>
  <si>
    <t>Naresh Chand</t>
  </si>
  <si>
    <t>Ward N.5 Choudhary Mohalla,Tarori,Karnal</t>
  </si>
  <si>
    <t>Adhar No.255455249927</t>
  </si>
  <si>
    <t>HR65A0174</t>
  </si>
  <si>
    <t>SGST 14%</t>
  </si>
  <si>
    <t>CGST 14%</t>
  </si>
  <si>
    <t>200ml Zeera Soda</t>
  </si>
  <si>
    <r>
      <t xml:space="preserve">                 </t>
    </r>
    <r>
      <rPr>
        <sz val="10"/>
        <color theme="1"/>
        <rFont val="Calibri Light"/>
        <family val="2"/>
        <scheme val="major"/>
      </rPr>
      <t xml:space="preserve">          Authorized Signature</t>
    </r>
  </si>
  <si>
    <t xml:space="preserve">                              For GURU KIRPA BEVERAGE</t>
  </si>
  <si>
    <t>CESS</t>
  </si>
  <si>
    <t>Amt</t>
  </si>
  <si>
    <t>CESS 12%</t>
  </si>
  <si>
    <t>IGST 28%</t>
  </si>
  <si>
    <t>Total Tax</t>
  </si>
  <si>
    <t xml:space="preserve"> Total Tax</t>
  </si>
  <si>
    <t>Harsh Kumar</t>
  </si>
  <si>
    <t>Shahzadpur</t>
  </si>
  <si>
    <t>Adhar No.698158163003</t>
  </si>
  <si>
    <t>Total Tax Amount In Words:</t>
  </si>
  <si>
    <t>Adil Enterprises</t>
  </si>
  <si>
    <t>GST No.06BSCPA4179B1Z9</t>
  </si>
  <si>
    <t>Kala Amb,Near Toll Tax Barrier,Naraingarh Road</t>
  </si>
  <si>
    <t>State Name: Haryana,Code No.06</t>
  </si>
  <si>
    <t>S.No.</t>
  </si>
  <si>
    <t>Name</t>
  </si>
  <si>
    <t>State</t>
  </si>
  <si>
    <t>Address</t>
  </si>
  <si>
    <t>Code No.</t>
  </si>
  <si>
    <t>GST No.</t>
  </si>
  <si>
    <t>Adhar No.</t>
  </si>
  <si>
    <t>Invoice No. 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</si>
</sst>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i/>
      <sz val="11"/>
      <color theme="1"/>
      <name val="Book Antiqua"/>
      <family val="1"/>
    </font>
    <font>
      <sz val="8"/>
      <name val="Calibri"/>
      <family val="2"/>
      <scheme val="minor"/>
    </font>
    <font>
      <sz val="8"/>
      <color theme="1"/>
      <name val="Calibri Light"/>
      <family val="2"/>
      <scheme val="major"/>
    </font>
    <font>
      <i/>
      <sz val="11"/>
      <color theme="1"/>
      <name val="Book Antiqua"/>
      <family val="1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2" fillId="0" borderId="0" xfId="0" applyFont="1"/>
    <xf numFmtId="0" fontId="5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0" borderId="9" xfId="0" applyFont="1" applyBorder="1"/>
    <xf numFmtId="0" fontId="0" fillId="0" borderId="11" xfId="0" applyBorder="1"/>
    <xf numFmtId="0" fontId="0" fillId="0" borderId="1" xfId="0" applyBorder="1"/>
    <xf numFmtId="0" fontId="0" fillId="0" borderId="13" xfId="0" applyBorder="1"/>
    <xf numFmtId="22" fontId="5" fillId="0" borderId="0" xfId="0" applyNumberFormat="1" applyFont="1"/>
    <xf numFmtId="0" fontId="0" fillId="0" borderId="4" xfId="0" applyBorder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right"/>
    </xf>
    <xf numFmtId="9" fontId="0" fillId="0" borderId="0" xfId="0" applyNumberFormat="1"/>
    <xf numFmtId="0" fontId="0" fillId="0" borderId="15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4" xfId="0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2" xfId="0" applyBorder="1"/>
    <xf numFmtId="0" fontId="6" fillId="0" borderId="8" xfId="0" applyFont="1" applyBorder="1"/>
    <xf numFmtId="9" fontId="0" fillId="0" borderId="9" xfId="0" applyNumberFormat="1" applyBorder="1"/>
    <xf numFmtId="0" fontId="6" fillId="0" borderId="15" xfId="0" applyFont="1" applyBorder="1"/>
    <xf numFmtId="0" fontId="6" fillId="0" borderId="5" xfId="0" applyFont="1" applyBorder="1"/>
    <xf numFmtId="9" fontId="0" fillId="0" borderId="7" xfId="0" applyNumberFormat="1" applyBorder="1"/>
    <xf numFmtId="0" fontId="6" fillId="0" borderId="10" xfId="0" applyFont="1" applyBorder="1"/>
    <xf numFmtId="9" fontId="0" fillId="0" borderId="12" xfId="0" applyNumberFormat="1" applyBorder="1"/>
    <xf numFmtId="0" fontId="0" fillId="0" borderId="11" xfId="0" applyBorder="1" applyAlignment="1">
      <alignment horizontal="right"/>
    </xf>
    <xf numFmtId="0" fontId="0" fillId="0" borderId="8" xfId="0" applyBorder="1" applyAlignment="1">
      <alignment horizontal="right"/>
    </xf>
    <xf numFmtId="0" fontId="6" fillId="0" borderId="8" xfId="0" applyFont="1" applyBorder="1" applyAlignment="1">
      <alignment horizontal="right"/>
    </xf>
    <xf numFmtId="0" fontId="0" fillId="0" borderId="5" xfId="0" applyBorder="1" applyAlignment="1">
      <alignment horizontal="left"/>
    </xf>
    <xf numFmtId="0" fontId="5" fillId="0" borderId="13" xfId="0" applyFont="1" applyBorder="1"/>
    <xf numFmtId="0" fontId="9" fillId="0" borderId="15" xfId="0" applyFont="1" applyBorder="1" applyAlignment="1">
      <alignment horizontal="right"/>
    </xf>
    <xf numFmtId="0" fontId="4" fillId="0" borderId="4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15" xfId="0" applyFont="1" applyBorder="1"/>
    <xf numFmtId="0" fontId="4" fillId="0" borderId="0" xfId="0" applyFont="1"/>
    <xf numFmtId="0" fontId="4" fillId="0" borderId="9" xfId="0" applyFont="1" applyBorder="1"/>
    <xf numFmtId="0" fontId="4" fillId="0" borderId="15" xfId="0" applyFont="1" applyBorder="1" applyAlignment="1">
      <alignment horizontal="right"/>
    </xf>
    <xf numFmtId="0" fontId="4" fillId="0" borderId="8" xfId="0" applyFont="1" applyBorder="1"/>
    <xf numFmtId="0" fontId="4" fillId="0" borderId="9" xfId="0" applyFont="1" applyBorder="1" applyAlignment="1">
      <alignment horizontal="right"/>
    </xf>
    <xf numFmtId="0" fontId="4" fillId="0" borderId="14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" xfId="0" applyFont="1" applyBorder="1"/>
    <xf numFmtId="0" fontId="4" fillId="0" borderId="11" xfId="0" applyFont="1" applyBorder="1"/>
    <xf numFmtId="0" fontId="1" fillId="0" borderId="3" xfId="0" applyFont="1" applyBorder="1"/>
    <xf numFmtId="0" fontId="4" fillId="0" borderId="13" xfId="0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center" wrapText="1" indent="1"/>
    </xf>
    <xf numFmtId="0" fontId="0" fillId="2" borderId="1" xfId="0" applyFill="1" applyBorder="1"/>
    <xf numFmtId="0" fontId="5" fillId="0" borderId="13" xfId="0" applyFont="1" applyBorder="1"/>
    <xf numFmtId="0" fontId="5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0" borderId="8" xfId="0" applyFont="1" applyBorder="1"/>
    <xf numFmtId="0" fontId="5" fillId="0" borderId="0" xfId="0" applyFont="1"/>
    <xf numFmtId="0" fontId="5" fillId="0" borderId="9" xfId="0" applyFont="1" applyBorder="1"/>
    <xf numFmtId="22" fontId="5" fillId="0" borderId="11" xfId="0" applyNumberFormat="1" applyFont="1" applyBorder="1"/>
    <xf numFmtId="22" fontId="5" fillId="0" borderId="12" xfId="0" applyNumberFormat="1" applyFont="1" applyBorder="1"/>
    <xf numFmtId="22" fontId="5" fillId="0" borderId="10" xfId="0" applyNumberFormat="1" applyFont="1" applyBorder="1" applyAlignment="1">
      <alignment horizontal="left"/>
    </xf>
    <xf numFmtId="22" fontId="5" fillId="0" borderId="12" xfId="0" applyNumberFormat="1" applyFont="1" applyBorder="1" applyAlignment="1">
      <alignment horizontal="left"/>
    </xf>
    <xf numFmtId="0" fontId="1" fillId="0" borderId="6" xfId="0" applyFont="1" applyBorder="1"/>
    <xf numFmtId="0" fontId="1" fillId="0" borderId="7" xfId="0" applyFont="1" applyBorder="1"/>
    <xf numFmtId="0" fontId="5" fillId="0" borderId="11" xfId="0" applyFont="1" applyBorder="1"/>
    <xf numFmtId="0" fontId="0" fillId="0" borderId="11" xfId="0" applyBorder="1"/>
    <xf numFmtId="0" fontId="0" fillId="0" borderId="12" xfId="0" applyBorder="1"/>
    <xf numFmtId="0" fontId="5" fillId="0" borderId="6" xfId="0" applyFont="1" applyBorder="1"/>
    <xf numFmtId="0" fontId="5" fillId="0" borderId="7" xfId="0" applyFont="1" applyBorder="1"/>
    <xf numFmtId="0" fontId="5" fillId="0" borderId="10" xfId="0" applyFont="1" applyBorder="1"/>
    <xf numFmtId="0" fontId="5" fillId="0" borderId="12" xfId="0" applyFont="1" applyBorder="1"/>
    <xf numFmtId="0" fontId="1" fillId="0" borderId="3" xfId="0" applyFont="1" applyBorder="1"/>
    <xf numFmtId="0" fontId="1" fillId="0" borderId="13" xfId="0" applyFont="1" applyBorder="1"/>
    <xf numFmtId="0" fontId="1" fillId="0" borderId="2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5" fillId="0" borderId="8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9" xfId="0" applyFont="1" applyBorder="1" applyAlignment="1">
      <alignment horizontal="left"/>
    </xf>
    <xf numFmtId="0" fontId="5" fillId="0" borderId="3" xfId="0" applyFont="1" applyBorder="1"/>
    <xf numFmtId="0" fontId="0" fillId="0" borderId="3" xfId="0" applyBorder="1"/>
    <xf numFmtId="0" fontId="0" fillId="0" borderId="2" xfId="0" applyBorder="1"/>
    <xf numFmtId="0" fontId="0" fillId="0" borderId="8" xfId="0" applyBorder="1"/>
    <xf numFmtId="0" fontId="0" fillId="0" borderId="9" xfId="0" applyBorder="1"/>
    <xf numFmtId="0" fontId="0" fillId="0" borderId="13" xfId="0" applyBorder="1"/>
    <xf numFmtId="0" fontId="0" fillId="0" borderId="10" xfId="0" applyBorder="1"/>
    <xf numFmtId="22" fontId="4" fillId="0" borderId="10" xfId="0" applyNumberFormat="1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3" fillId="0" borderId="8" xfId="0" applyFont="1" applyBorder="1"/>
    <xf numFmtId="0" fontId="3" fillId="0" borderId="0" xfId="0" applyFont="1"/>
    <xf numFmtId="0" fontId="3" fillId="0" borderId="9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7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6E54-88A8-46DC-ADBD-261ABA8B92F6}">
  <sheetPr codeName="Sheet2"/>
  <dimension ref="A1:H47"/>
  <sheetViews>
    <sheetView tabSelected="1" view="pageLayout" zoomScale="109" zoomScaleNormal="128" zoomScalePageLayoutView="109" workbookViewId="0">
      <selection activeCell="D15" sqref="D15"/>
    </sheetView>
  </sheetViews>
  <sheetFormatPr defaultRowHeight="14.4" x14ac:dyDescent="0.3"/>
  <cols>
    <col min="1" max="1" width="3.44140625" customWidth="1"/>
    <col min="2" max="2" width="26.5546875" customWidth="1"/>
    <col min="3" max="3" width="11" customWidth="1"/>
    <col min="4" max="4" width="9.6640625" customWidth="1"/>
    <col min="5" max="5" width="8.77734375" customWidth="1"/>
    <col min="6" max="6" width="10.5546875" customWidth="1"/>
    <col min="7" max="7" width="19.6640625" customWidth="1"/>
    <col min="8" max="8" width="12.109375" customWidth="1"/>
  </cols>
  <sheetData>
    <row r="1" spans="1:8" x14ac:dyDescent="0.3">
      <c r="A1" s="60" t="s">
        <v>82</v>
      </c>
      <c r="B1" s="61"/>
      <c r="C1" s="62"/>
      <c r="D1" s="61" t="s">
        <v>89</v>
      </c>
      <c r="E1" s="62"/>
      <c r="F1" s="60" t="s">
        <v>88</v>
      </c>
      <c r="G1" s="62"/>
    </row>
    <row r="2" spans="1:8" x14ac:dyDescent="0.3">
      <c r="A2" s="63" t="s">
        <v>83</v>
      </c>
      <c r="B2" s="64"/>
      <c r="C2" s="65"/>
      <c r="D2" s="66" t="s">
        <v>169</v>
      </c>
      <c r="E2" s="67"/>
      <c r="F2" s="68">
        <f ca="1">NOW()</f>
        <v>45764.392086111111</v>
      </c>
      <c r="G2" s="69"/>
      <c r="H2" s="10"/>
    </row>
    <row r="3" spans="1:8" x14ac:dyDescent="0.3">
      <c r="A3" s="63" t="s">
        <v>84</v>
      </c>
      <c r="B3" s="64"/>
      <c r="C3" s="65"/>
      <c r="D3" s="70" t="s">
        <v>93</v>
      </c>
      <c r="E3" s="70"/>
      <c r="F3" s="70"/>
      <c r="G3" s="71"/>
      <c r="H3" s="2"/>
    </row>
    <row r="4" spans="1:8" x14ac:dyDescent="0.3">
      <c r="A4" s="63" t="s">
        <v>85</v>
      </c>
      <c r="B4" s="64"/>
      <c r="C4" s="65"/>
      <c r="D4" s="64" t="s">
        <v>94</v>
      </c>
      <c r="E4" s="64"/>
      <c r="F4" s="64"/>
      <c r="G4" s="65"/>
      <c r="H4" s="2"/>
    </row>
    <row r="5" spans="1:8" x14ac:dyDescent="0.3">
      <c r="A5" s="63" t="s">
        <v>86</v>
      </c>
      <c r="B5" s="64"/>
      <c r="C5" s="65"/>
      <c r="D5" s="64" t="s">
        <v>95</v>
      </c>
      <c r="E5" s="64"/>
      <c r="F5" s="64"/>
      <c r="G5" s="65"/>
      <c r="H5" s="2"/>
    </row>
    <row r="6" spans="1:8" x14ac:dyDescent="0.3">
      <c r="A6" s="77" t="s">
        <v>196</v>
      </c>
      <c r="B6" s="72"/>
      <c r="C6" s="78"/>
      <c r="D6" s="64" t="s">
        <v>96</v>
      </c>
      <c r="E6" s="64"/>
      <c r="F6" s="64"/>
      <c r="G6" s="65"/>
      <c r="H6" s="2"/>
    </row>
    <row r="7" spans="1:8" x14ac:dyDescent="0.3">
      <c r="A7" s="60" t="s">
        <v>87</v>
      </c>
      <c r="B7" s="61"/>
      <c r="C7" s="62"/>
      <c r="D7" s="72" t="s">
        <v>97</v>
      </c>
      <c r="E7" s="73"/>
      <c r="F7" s="73"/>
      <c r="G7" s="74"/>
    </row>
    <row r="8" spans="1:8" x14ac:dyDescent="0.3">
      <c r="A8" s="63" t="s">
        <v>29</v>
      </c>
      <c r="B8" s="64"/>
      <c r="C8" s="65"/>
      <c r="D8" s="75" t="s">
        <v>98</v>
      </c>
      <c r="E8" s="75"/>
      <c r="F8" s="75"/>
      <c r="G8" s="76"/>
      <c r="H8" s="2"/>
    </row>
    <row r="9" spans="1:8" x14ac:dyDescent="0.3">
      <c r="A9" s="85" t="str">
        <f>VLOOKUP(A8,'Customer address'!B1:C151,2,0)</f>
        <v>Kacha Bazar , Ambala Cantt</v>
      </c>
      <c r="B9" s="86"/>
      <c r="C9" s="87"/>
      <c r="D9" s="64"/>
      <c r="E9" s="64"/>
      <c r="F9" s="64"/>
      <c r="G9" s="65"/>
      <c r="H9" s="2"/>
    </row>
    <row r="10" spans="1:8" x14ac:dyDescent="0.3">
      <c r="A10" s="63" t="str">
        <f>VLOOKUP(A8,'Customer detail'!A1:B103,2,0)</f>
        <v>Adhar No.424403569394</v>
      </c>
      <c r="B10" s="64"/>
      <c r="C10" s="65"/>
      <c r="D10" s="64" t="s">
        <v>99</v>
      </c>
      <c r="E10" s="64"/>
      <c r="F10" s="64"/>
      <c r="G10" s="65"/>
      <c r="H10" s="2"/>
    </row>
    <row r="11" spans="1:8" x14ac:dyDescent="0.3">
      <c r="A11" s="77" t="str">
        <f>VLOOKUP(A8,'Customer detail'!C1:D200,2,0)</f>
        <v>State Name: Haryana,Code No.06</v>
      </c>
      <c r="B11" s="72"/>
      <c r="C11" s="78"/>
      <c r="D11" s="72"/>
      <c r="E11" s="72"/>
      <c r="F11" s="72"/>
      <c r="G11" s="78"/>
      <c r="H11" s="2"/>
    </row>
    <row r="12" spans="1:8" x14ac:dyDescent="0.3">
      <c r="A12" s="11" t="s">
        <v>1</v>
      </c>
      <c r="B12" s="4" t="s">
        <v>92</v>
      </c>
      <c r="C12" s="11" t="s">
        <v>3</v>
      </c>
      <c r="D12" s="4" t="s">
        <v>90</v>
      </c>
      <c r="E12" s="11" t="s">
        <v>5</v>
      </c>
      <c r="F12" s="4" t="s">
        <v>91</v>
      </c>
      <c r="G12" s="21" t="s">
        <v>6</v>
      </c>
    </row>
    <row r="13" spans="1:8" x14ac:dyDescent="0.3">
      <c r="A13" s="13" t="s">
        <v>2</v>
      </c>
      <c r="B13" s="7"/>
      <c r="C13" s="13" t="s">
        <v>4</v>
      </c>
      <c r="D13" s="7"/>
      <c r="E13" s="13"/>
      <c r="G13" s="12"/>
    </row>
    <row r="14" spans="1:8" x14ac:dyDescent="0.3">
      <c r="A14" s="38">
        <f>IF(B14="","",ROW()-ROW(A13))</f>
        <v>1</v>
      </c>
      <c r="B14" s="39" t="s">
        <v>40</v>
      </c>
      <c r="C14" s="38">
        <f>IFERROR(VLOOKUP(B14,'Bill detail'!E2:F6,2,0)," ")</f>
        <v>2201</v>
      </c>
      <c r="D14" s="39">
        <v>100</v>
      </c>
      <c r="E14" s="38">
        <f>IFERROR(VLOOKUP(B14,'Bill detail'!A1:B6,2,0)," ")</f>
        <v>55</v>
      </c>
      <c r="F14" s="40" t="str">
        <f>IFERROR(VLOOKUP(B14,'Bill detail'!G1:H6,2,0)," ")</f>
        <v>box</v>
      </c>
      <c r="G14" s="38">
        <f>D14*E14</f>
        <v>5500</v>
      </c>
    </row>
    <row r="15" spans="1:8" x14ac:dyDescent="0.3">
      <c r="A15" s="41">
        <f>IF(B15="","",ROW()-ROW(A13))</f>
        <v>2</v>
      </c>
      <c r="B15" s="42" t="s">
        <v>39</v>
      </c>
      <c r="C15" s="41">
        <f>IFERROR(VLOOKUP(B15,'Bill detail'!E3:F7,2,0)," ")</f>
        <v>2201</v>
      </c>
      <c r="D15" s="42">
        <v>100</v>
      </c>
      <c r="E15" s="41">
        <f>IFERROR(VLOOKUP(B15,'Bill detail'!A2:B7,2,0)," ")</f>
        <v>45</v>
      </c>
      <c r="F15" s="43" t="str">
        <f>IFERROR(VLOOKUP(B15,'Bill detail'!G2:H7,2,0)," ")</f>
        <v>box</v>
      </c>
      <c r="G15" s="44">
        <f>IFERROR(D15*E15,"0")</f>
        <v>4500</v>
      </c>
    </row>
    <row r="16" spans="1:8" x14ac:dyDescent="0.3">
      <c r="A16" s="41" t="str">
        <f>IF(B16="","",ROW()-ROW(A13))</f>
        <v/>
      </c>
      <c r="B16" s="42"/>
      <c r="C16" s="41" t="str">
        <f>IFERROR(VLOOKUP(B16,'Bill detail'!E2:F6,2,0)," ")</f>
        <v xml:space="preserve"> </v>
      </c>
      <c r="D16" s="42"/>
      <c r="E16" s="41" t="str">
        <f>IFERROR(VLOOKUP(B16,'Bill detail'!A3:B8,2,0)," ")</f>
        <v xml:space="preserve"> </v>
      </c>
      <c r="F16" s="43" t="str">
        <f>IFERROR(VLOOKUP(B16,'Bill detail'!G3:H8,2,0)," ")</f>
        <v xml:space="preserve"> </v>
      </c>
      <c r="G16" s="44" t="str">
        <f>IFERROR(D16*E16,"0")</f>
        <v>0</v>
      </c>
    </row>
    <row r="17" spans="1:7" x14ac:dyDescent="0.3">
      <c r="A17" s="41" t="str">
        <f>IF(B17="","",ROW()-ROW(A13))</f>
        <v/>
      </c>
      <c r="B17" s="42"/>
      <c r="C17" s="41" t="str">
        <f>IFERROR(VLOOKUP(B17,'Bill detail'!E4:F9,2,0)," ")</f>
        <v xml:space="preserve"> </v>
      </c>
      <c r="D17" s="42"/>
      <c r="E17" s="41" t="str">
        <f>IFERROR(VLOOKUP(B17,'Bill detail'!A4:B9,2,0)," ")</f>
        <v xml:space="preserve"> </v>
      </c>
      <c r="F17" s="43" t="str">
        <f>IFERROR(VLOOKUP(B17,'Bill detail'!G4:H9,2,0)," ")</f>
        <v xml:space="preserve"> </v>
      </c>
      <c r="G17" s="41" t="str">
        <f>IFERROR(D17*E17," ")</f>
        <v xml:space="preserve"> </v>
      </c>
    </row>
    <row r="18" spans="1:7" x14ac:dyDescent="0.3">
      <c r="A18" s="41"/>
      <c r="B18" s="42"/>
      <c r="C18" s="41" t="str">
        <f>IFERROR(VLOOKUP(B18,'Bill detail'!E5:F10,2,0)," ")</f>
        <v xml:space="preserve"> </v>
      </c>
      <c r="D18" s="42"/>
      <c r="E18" s="41" t="str">
        <f>IFERROR(VLOOKUP(B18,'Bill detail'!A5:B10,2,0)," ")</f>
        <v xml:space="preserve"> </v>
      </c>
      <c r="F18" s="43"/>
      <c r="G18" s="41" t="str">
        <f t="shared" ref="G18" si="0">IFERROR(D18*E18," ")</f>
        <v xml:space="preserve"> </v>
      </c>
    </row>
    <row r="19" spans="1:7" x14ac:dyDescent="0.3">
      <c r="A19" s="13"/>
      <c r="C19" s="13"/>
      <c r="E19" s="13"/>
      <c r="F19" s="18"/>
      <c r="G19" s="13"/>
    </row>
    <row r="20" spans="1:7" x14ac:dyDescent="0.3">
      <c r="A20" s="13"/>
      <c r="B20" s="37" t="str">
        <f>IF(A11="State Name: Haryana,Code No.06","CGST"," ")</f>
        <v>CGST</v>
      </c>
      <c r="D20" s="45"/>
      <c r="E20" s="41">
        <f>IFERROR(VLOOKUP(B20,'Bill detail'!A8:B10,2,0)," ")</f>
        <v>0.09</v>
      </c>
      <c r="F20" s="46"/>
      <c r="G20" s="44">
        <f>IFERROR((G14+G15+G16)*E20,"0")</f>
        <v>900</v>
      </c>
    </row>
    <row r="21" spans="1:7" x14ac:dyDescent="0.3">
      <c r="A21" s="13"/>
      <c r="B21" s="37" t="str">
        <f>IF(A11="State Name: Haryana,Code No.06","SGST"," ")</f>
        <v>SGST</v>
      </c>
      <c r="D21" s="45"/>
      <c r="E21" s="41">
        <f>IFERROR(VLOOKUP(B21,'Bill detail'!A8:B10,2,0)," ")</f>
        <v>0.09</v>
      </c>
      <c r="F21" s="46"/>
      <c r="G21" s="44">
        <f>IFERROR((G14+G15+G16)*E21,"0")</f>
        <v>900</v>
      </c>
    </row>
    <row r="22" spans="1:7" x14ac:dyDescent="0.3">
      <c r="A22" s="13"/>
      <c r="B22" s="37" t="str">
        <f>IF(A11="State Name: Haryana,Code No.06"," ","IGST")</f>
        <v xml:space="preserve"> </v>
      </c>
      <c r="D22" s="45"/>
      <c r="E22" s="41" t="str">
        <f>IFERROR(VLOOKUP(B22,'Bill detail'!A8:B10,2,0)," ")</f>
        <v xml:space="preserve"> </v>
      </c>
      <c r="F22" s="46"/>
      <c r="G22" s="44" t="str">
        <f>IFERROR((G14+G15+G16)*E22,"0")</f>
        <v>0</v>
      </c>
    </row>
    <row r="23" spans="1:7" x14ac:dyDescent="0.3">
      <c r="A23" s="12"/>
      <c r="C23" s="12"/>
      <c r="D23" s="42"/>
      <c r="E23" s="47"/>
      <c r="F23" s="48"/>
      <c r="G23" s="47"/>
    </row>
    <row r="24" spans="1:7" x14ac:dyDescent="0.3">
      <c r="A24" s="8"/>
      <c r="B24" s="14" t="s">
        <v>34</v>
      </c>
      <c r="C24" s="12"/>
      <c r="D24" s="49">
        <f>D14+D15+D16+D17+D18+D19</f>
        <v>200</v>
      </c>
      <c r="E24" s="50"/>
      <c r="F24" s="49"/>
      <c r="G24" s="50">
        <f>G14+G15+G16+G20+G21+G22</f>
        <v>11800</v>
      </c>
    </row>
    <row r="25" spans="1:7" x14ac:dyDescent="0.3">
      <c r="A25" s="79" t="s">
        <v>140</v>
      </c>
      <c r="B25" s="80"/>
      <c r="C25" s="80"/>
      <c r="D25" s="80"/>
      <c r="E25" s="80"/>
      <c r="F25" s="80"/>
      <c r="G25" s="81"/>
    </row>
    <row r="26" spans="1:7" x14ac:dyDescent="0.3">
      <c r="A26" s="82" t="str">
        <f>converttowords(G24)</f>
        <v>Eleven Thousand Eight Hundred</v>
      </c>
      <c r="B26" s="83"/>
      <c r="C26" s="83"/>
      <c r="D26" s="83"/>
      <c r="E26" s="83"/>
      <c r="F26" s="83"/>
      <c r="G26" s="84"/>
    </row>
    <row r="27" spans="1:7" x14ac:dyDescent="0.3">
      <c r="A27" s="89" t="s">
        <v>147</v>
      </c>
      <c r="B27" s="90"/>
      <c r="C27" s="8" t="str">
        <f>IFERROR(VLOOKUP(B20,'Bill detail'!E8:F10,2,0)," ")</f>
        <v>CGST 9%</v>
      </c>
      <c r="D27" s="8" t="str">
        <f>IFERROR(VLOOKUP(B21,'Bill detail'!E8:F10,2,0)," ")</f>
        <v>SGST 9%</v>
      </c>
      <c r="E27" s="8" t="str">
        <f>IFERROR(VLOOKUP(B22,'Bill detail'!E8:F10,2,0)," ")</f>
        <v xml:space="preserve"> </v>
      </c>
      <c r="F27" s="9" t="s">
        <v>179</v>
      </c>
      <c r="G27" s="8" t="s">
        <v>148</v>
      </c>
    </row>
    <row r="28" spans="1:7" x14ac:dyDescent="0.3">
      <c r="A28" s="91"/>
      <c r="B28" s="92"/>
      <c r="C28" s="41">
        <f>IFERROR(VLOOKUP(C27,'Bill detail'!G8:H10,2,0)*(G14+G15+G16)," ")</f>
        <v>900</v>
      </c>
      <c r="D28" s="41">
        <f>IFERROR(VLOOKUP(D27,'Bill detail'!G8:H10,2,0)*(G14+G15+G16)," ")</f>
        <v>900</v>
      </c>
      <c r="E28" s="41" t="str">
        <f>IFERROR(VLOOKUP(E27,'Bill detail'!G8:H10,2,0)*(G14+G15+G16)," ")</f>
        <v xml:space="preserve"> </v>
      </c>
      <c r="F28" s="42">
        <f>G20+G21+G22</f>
        <v>1800</v>
      </c>
      <c r="G28" s="41">
        <f>G24</f>
        <v>11800</v>
      </c>
    </row>
    <row r="29" spans="1:7" x14ac:dyDescent="0.3">
      <c r="A29" s="88" t="s">
        <v>155</v>
      </c>
      <c r="B29" s="58"/>
      <c r="C29" s="58" t="str">
        <f>converttowords(F28)</f>
        <v>One Thousand Eight Hundred</v>
      </c>
      <c r="D29" s="58"/>
      <c r="E29" s="58"/>
      <c r="F29" s="58"/>
      <c r="G29" s="59"/>
    </row>
    <row r="30" spans="1:7" ht="11.4" customHeight="1" x14ac:dyDescent="0.3">
      <c r="A30" s="93"/>
      <c r="B30" s="93"/>
      <c r="C30" s="93"/>
      <c r="D30" s="93"/>
      <c r="E30" s="93"/>
      <c r="F30" s="93"/>
      <c r="G30" s="93"/>
    </row>
    <row r="31" spans="1:7" x14ac:dyDescent="0.3">
      <c r="A31" s="60" t="s">
        <v>87</v>
      </c>
      <c r="B31" s="62"/>
      <c r="C31" s="60" t="s">
        <v>141</v>
      </c>
      <c r="D31" s="62"/>
      <c r="E31" s="60" t="s">
        <v>88</v>
      </c>
      <c r="F31" s="62"/>
      <c r="G31" s="8" t="s">
        <v>144</v>
      </c>
    </row>
    <row r="32" spans="1:7" x14ac:dyDescent="0.3">
      <c r="A32" s="63" t="str">
        <f>A8</f>
        <v>Parvinder Singh</v>
      </c>
      <c r="B32" s="65"/>
      <c r="C32" s="95" t="str">
        <f>D2</f>
        <v>HR65A0174</v>
      </c>
      <c r="D32" s="96"/>
      <c r="E32" s="68">
        <f ca="1">NOW()</f>
        <v>45764.392086111111</v>
      </c>
      <c r="F32" s="97"/>
      <c r="G32" s="6" t="s">
        <v>0</v>
      </c>
    </row>
    <row r="33" spans="1:7" x14ac:dyDescent="0.3">
      <c r="A33" s="63" t="str">
        <f>A9</f>
        <v>Kacha Bazar , Ambala Cantt</v>
      </c>
      <c r="B33" s="65"/>
      <c r="C33" s="60" t="s">
        <v>173</v>
      </c>
      <c r="D33" s="61"/>
      <c r="E33" s="61"/>
      <c r="F33" s="62"/>
      <c r="G33" s="6" t="s">
        <v>145</v>
      </c>
    </row>
    <row r="34" spans="1:7" x14ac:dyDescent="0.3">
      <c r="A34" s="63" t="str">
        <f>A10</f>
        <v>Adhar No.424403569394</v>
      </c>
      <c r="B34" s="65"/>
      <c r="C34" s="98" t="s">
        <v>174</v>
      </c>
      <c r="D34" s="99"/>
      <c r="E34" s="99"/>
      <c r="F34" s="100"/>
      <c r="G34" s="6" t="s">
        <v>146</v>
      </c>
    </row>
    <row r="35" spans="1:7" x14ac:dyDescent="0.3">
      <c r="A35" s="77" t="str">
        <f>A11</f>
        <v>State Name: Haryana,Code No.06</v>
      </c>
      <c r="B35" s="78"/>
      <c r="C35" s="94"/>
      <c r="D35" s="73"/>
      <c r="E35" s="73"/>
      <c r="F35" s="74"/>
      <c r="G35" s="6" t="str">
        <f>A6</f>
        <v>Invoice No. 234</v>
      </c>
    </row>
    <row r="36" spans="1:7" x14ac:dyDescent="0.3">
      <c r="A36" s="11" t="s">
        <v>1</v>
      </c>
      <c r="B36" s="4" t="s">
        <v>92</v>
      </c>
      <c r="C36" s="11" t="s">
        <v>3</v>
      </c>
      <c r="D36" s="4" t="s">
        <v>90</v>
      </c>
      <c r="E36" s="11" t="s">
        <v>5</v>
      </c>
      <c r="F36" s="4" t="s">
        <v>91</v>
      </c>
      <c r="G36" s="21" t="s">
        <v>6</v>
      </c>
    </row>
    <row r="37" spans="1:7" x14ac:dyDescent="0.3">
      <c r="A37" s="13" t="s">
        <v>2</v>
      </c>
      <c r="B37" s="7"/>
      <c r="C37" s="13" t="s">
        <v>4</v>
      </c>
      <c r="D37" s="7"/>
      <c r="E37" s="13"/>
      <c r="G37" s="13"/>
    </row>
    <row r="38" spans="1:7" x14ac:dyDescent="0.3">
      <c r="A38" s="38">
        <f>IF(B14="","",ROW()-ROW(A37))</f>
        <v>1</v>
      </c>
      <c r="B38" s="39" t="str">
        <f>B14</f>
        <v>1ltr Water</v>
      </c>
      <c r="C38" s="38">
        <f>IFERROR(VLOOKUP(B38,'Bill detail'!E1:F6,2,0)," ")</f>
        <v>2201</v>
      </c>
      <c r="D38" s="39">
        <f>D14</f>
        <v>100</v>
      </c>
      <c r="E38" s="38">
        <f>IFERROR(VLOOKUP(B38,'Bill detail'!A1:B6,2,0)," ")</f>
        <v>55</v>
      </c>
      <c r="F38" s="38" t="str">
        <f>IFERROR(VLOOKUP(B38,'Bill detail'!G1:H6,2,0)," ")</f>
        <v>box</v>
      </c>
      <c r="G38" s="38">
        <f>D38*E38</f>
        <v>5500</v>
      </c>
    </row>
    <row r="39" spans="1:7" x14ac:dyDescent="0.3">
      <c r="A39" s="41">
        <f>IF(B15="","",ROW()-ROW(A37))</f>
        <v>2</v>
      </c>
      <c r="B39" s="42" t="str">
        <f>IFERROR(B15," ")</f>
        <v>250ml Water</v>
      </c>
      <c r="C39" s="41">
        <f>IFERROR(VLOOKUP(B39,'Bill detail'!E2:F7,2,0)," ")</f>
        <v>2201</v>
      </c>
      <c r="D39" s="42">
        <f>D15</f>
        <v>100</v>
      </c>
      <c r="E39" s="41">
        <f>IFERROR(VLOOKUP(B39,'Bill detail'!A2:B7,2,0)," ")</f>
        <v>45</v>
      </c>
      <c r="F39" s="41" t="str">
        <f>IFERROR(VLOOKUP(B39,'Bill detail'!G2:H7,2,0)," ")</f>
        <v>box</v>
      </c>
      <c r="G39" s="44">
        <f>IFERROR(D39*E39,"0")</f>
        <v>4500</v>
      </c>
    </row>
    <row r="40" spans="1:7" x14ac:dyDescent="0.3">
      <c r="A40" s="41" t="str">
        <f>IF(B16="","",ROW()-ROW(A37))</f>
        <v/>
      </c>
      <c r="B40" s="42">
        <f>IFERROR(B16," ")</f>
        <v>0</v>
      </c>
      <c r="C40" s="41" t="str">
        <f>IFERROR(VLOOKUP(B40,'Bill detail'!E3:F8,2,0)," ")</f>
        <v xml:space="preserve"> </v>
      </c>
      <c r="D40" s="42">
        <f>D16</f>
        <v>0</v>
      </c>
      <c r="E40" s="41" t="str">
        <f>IFERROR(VLOOKUP(B40,'Bill detail'!A3:B8,2,0)," ")</f>
        <v xml:space="preserve"> </v>
      </c>
      <c r="F40" s="41" t="str">
        <f>IFERROR(VLOOKUP(B40,'Bill detail'!G3:H8,2,0)," ")</f>
        <v xml:space="preserve"> </v>
      </c>
      <c r="G40" s="44" t="str">
        <f>IFERROR(D40*E40,"0")</f>
        <v>0</v>
      </c>
    </row>
    <row r="41" spans="1:7" x14ac:dyDescent="0.3">
      <c r="A41" s="41" t="str">
        <f>IF(B17="","",ROW()-ROW(A37))</f>
        <v/>
      </c>
      <c r="B41" s="42">
        <f>B17</f>
        <v>0</v>
      </c>
      <c r="C41" s="41" t="str">
        <f>C17</f>
        <v xml:space="preserve"> </v>
      </c>
      <c r="D41" s="42">
        <f>D17</f>
        <v>0</v>
      </c>
      <c r="E41" s="41" t="str">
        <f>E17</f>
        <v xml:space="preserve"> </v>
      </c>
      <c r="F41" s="41" t="str">
        <f>F17</f>
        <v xml:space="preserve"> </v>
      </c>
      <c r="G41" s="41" t="str">
        <f>G17</f>
        <v xml:space="preserve"> </v>
      </c>
    </row>
    <row r="42" spans="1:7" x14ac:dyDescent="0.3">
      <c r="A42" s="47"/>
      <c r="B42" s="42"/>
      <c r="C42" s="41"/>
      <c r="D42" s="42"/>
      <c r="E42" s="47"/>
      <c r="F42" s="47"/>
      <c r="G42" s="41"/>
    </row>
    <row r="43" spans="1:7" x14ac:dyDescent="0.3">
      <c r="A43" s="50"/>
      <c r="B43" s="53" t="s">
        <v>34</v>
      </c>
      <c r="C43" s="50"/>
      <c r="D43" s="49">
        <f>D38+D39+D40</f>
        <v>200</v>
      </c>
      <c r="E43" s="50"/>
      <c r="F43" s="49"/>
      <c r="G43" s="50">
        <f>G38+G39+G40</f>
        <v>10000</v>
      </c>
    </row>
    <row r="44" spans="1:7" x14ac:dyDescent="0.3">
      <c r="A44" s="79" t="s">
        <v>156</v>
      </c>
      <c r="B44" s="80"/>
      <c r="C44" s="58" t="str">
        <f>VBAProject.Module1.ConvertToWords(G46)</f>
        <v>Eleven Thousand Eight Hundred</v>
      </c>
      <c r="D44" s="58"/>
      <c r="E44" s="58"/>
      <c r="F44" s="58"/>
      <c r="G44" s="59"/>
    </row>
    <row r="45" spans="1:7" x14ac:dyDescent="0.3">
      <c r="A45" s="89" t="s">
        <v>147</v>
      </c>
      <c r="B45" s="90"/>
      <c r="C45" s="8" t="str">
        <f t="shared" ref="C45:E46" si="1">C27</f>
        <v>CGST 9%</v>
      </c>
      <c r="D45" s="9" t="str">
        <f t="shared" si="1"/>
        <v>SGST 9%</v>
      </c>
      <c r="E45" s="8" t="str">
        <f t="shared" si="1"/>
        <v xml:space="preserve"> </v>
      </c>
      <c r="F45" s="9" t="s">
        <v>179</v>
      </c>
      <c r="G45" s="8" t="s">
        <v>148</v>
      </c>
    </row>
    <row r="46" spans="1:7" x14ac:dyDescent="0.3">
      <c r="A46" s="94" t="s">
        <v>152</v>
      </c>
      <c r="B46" s="74"/>
      <c r="C46" s="50">
        <f t="shared" si="1"/>
        <v>900</v>
      </c>
      <c r="D46" s="51">
        <f t="shared" si="1"/>
        <v>900</v>
      </c>
      <c r="E46" s="50" t="str">
        <f t="shared" si="1"/>
        <v xml:space="preserve"> </v>
      </c>
      <c r="F46" s="51">
        <f>F28</f>
        <v>1800</v>
      </c>
      <c r="G46" s="50">
        <f>G43+F46</f>
        <v>11800</v>
      </c>
    </row>
    <row r="47" spans="1:7" x14ac:dyDescent="0.3">
      <c r="A47" s="52" t="s">
        <v>184</v>
      </c>
      <c r="B47" s="36"/>
      <c r="C47" s="58" t="str">
        <f>converttowords(F46)</f>
        <v>One Thousand Eight Hundred</v>
      </c>
      <c r="D47" s="58"/>
      <c r="E47" s="58"/>
      <c r="F47" s="58"/>
      <c r="G47" s="59"/>
    </row>
  </sheetData>
  <mergeCells count="48">
    <mergeCell ref="C47:G47"/>
    <mergeCell ref="A29:B29"/>
    <mergeCell ref="A44:B44"/>
    <mergeCell ref="C44:G44"/>
    <mergeCell ref="A27:B27"/>
    <mergeCell ref="A28:B28"/>
    <mergeCell ref="A30:G30"/>
    <mergeCell ref="A45:B45"/>
    <mergeCell ref="A46:B46"/>
    <mergeCell ref="C31:D31"/>
    <mergeCell ref="C32:D32"/>
    <mergeCell ref="E31:F31"/>
    <mergeCell ref="E32:F32"/>
    <mergeCell ref="C33:F33"/>
    <mergeCell ref="C34:F34"/>
    <mergeCell ref="C35:F35"/>
    <mergeCell ref="A32:B32"/>
    <mergeCell ref="A33:B33"/>
    <mergeCell ref="A34:B34"/>
    <mergeCell ref="A35:B35"/>
    <mergeCell ref="A6:C6"/>
    <mergeCell ref="A25:G25"/>
    <mergeCell ref="A26:G26"/>
    <mergeCell ref="A31:B31"/>
    <mergeCell ref="A7:C7"/>
    <mergeCell ref="A8:C8"/>
    <mergeCell ref="A9:C9"/>
    <mergeCell ref="A10:C10"/>
    <mergeCell ref="A11:C11"/>
    <mergeCell ref="D9:G9"/>
    <mergeCell ref="D10:G10"/>
    <mergeCell ref="D11:G11"/>
    <mergeCell ref="C29:G29"/>
    <mergeCell ref="A1:C1"/>
    <mergeCell ref="A2:C2"/>
    <mergeCell ref="A3:C3"/>
    <mergeCell ref="A4:C4"/>
    <mergeCell ref="A5:C5"/>
    <mergeCell ref="D1:E1"/>
    <mergeCell ref="D2:E2"/>
    <mergeCell ref="F1:G1"/>
    <mergeCell ref="F2:G2"/>
    <mergeCell ref="D3:G3"/>
    <mergeCell ref="D4:G4"/>
    <mergeCell ref="D5:G5"/>
    <mergeCell ref="D6:G6"/>
    <mergeCell ref="D7:G7"/>
    <mergeCell ref="D8:G8"/>
  </mergeCells>
  <pageMargins left="0.7" right="0.7" top="0.75" bottom="0.75" header="0.3" footer="0.3"/>
  <pageSetup orientation="portrait" r:id="rId1"/>
  <headerFooter>
    <oddHeader xml:space="preserve">&amp;C&amp;"-,Bold"Invoice Bill Original Copy
</oddHeader>
    <oddFooter xml:space="preserve">&amp;CDuplicate Invoice Copy By Guru Kirpa Beverage
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954B94-07C6-4481-B9A3-69FC108B2FB1}">
          <x14:formula1>
            <xm:f>'Customer detail'!$A$1:$A$293</xm:f>
          </x14:formula1>
          <xm:sqref>A8:C8</xm:sqref>
        </x14:dataValidation>
        <x14:dataValidation type="list" allowBlank="1" showInputMessage="1" showErrorMessage="1" xr:uid="{F47BCBB1-4E1C-4D92-B187-C0BF77A80FC8}">
          <x14:formula1>
            <xm:f>'Bill detail'!$A$2:$A$6</xm:f>
          </x14:formula1>
          <xm:sqref>B14:B18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A8689-0A84-45A1-8B96-6A1350284D84}">
  <sheetPr codeName="Sheet1"/>
  <dimension ref="A1:I47"/>
  <sheetViews>
    <sheetView view="pageLayout" zoomScale="111" zoomScaleNormal="124" zoomScalePageLayoutView="111" workbookViewId="0">
      <selection activeCell="A6" sqref="A6:C6"/>
    </sheetView>
  </sheetViews>
  <sheetFormatPr defaultRowHeight="14.4" x14ac:dyDescent="0.3"/>
  <cols>
    <col min="1" max="1" width="6" customWidth="1"/>
    <col min="2" max="2" width="25.5546875" customWidth="1"/>
    <col min="3" max="3" width="9.88671875" customWidth="1"/>
    <col min="4" max="4" width="9.21875" customWidth="1"/>
    <col min="5" max="5" width="10.6640625" customWidth="1"/>
    <col min="6" max="6" width="9.5546875" customWidth="1"/>
    <col min="7" max="7" width="19.5546875" customWidth="1"/>
  </cols>
  <sheetData>
    <row r="1" spans="1:7" x14ac:dyDescent="0.3">
      <c r="A1" s="60" t="s">
        <v>82</v>
      </c>
      <c r="B1" s="61"/>
      <c r="C1" s="62"/>
      <c r="D1" s="61" t="s">
        <v>89</v>
      </c>
      <c r="E1" s="62"/>
      <c r="F1" s="60" t="s">
        <v>88</v>
      </c>
      <c r="G1" s="62"/>
    </row>
    <row r="2" spans="1:7" x14ac:dyDescent="0.3">
      <c r="A2" s="63" t="s">
        <v>83</v>
      </c>
      <c r="B2" s="64"/>
      <c r="C2" s="65"/>
      <c r="D2" s="66" t="s">
        <v>169</v>
      </c>
      <c r="E2" s="67"/>
      <c r="F2" s="68">
        <f ca="1">NOW()</f>
        <v>45764.392086111111</v>
      </c>
      <c r="G2" s="69"/>
    </row>
    <row r="3" spans="1:7" x14ac:dyDescent="0.3">
      <c r="A3" s="63" t="s">
        <v>84</v>
      </c>
      <c r="B3" s="64"/>
      <c r="C3" s="65"/>
      <c r="D3" s="70" t="s">
        <v>93</v>
      </c>
      <c r="E3" s="70"/>
      <c r="F3" s="70"/>
      <c r="G3" s="71"/>
    </row>
    <row r="4" spans="1:7" x14ac:dyDescent="0.3">
      <c r="A4" s="63" t="s">
        <v>85</v>
      </c>
      <c r="B4" s="64"/>
      <c r="C4" s="65"/>
      <c r="D4" s="64" t="s">
        <v>94</v>
      </c>
      <c r="E4" s="64"/>
      <c r="F4" s="64"/>
      <c r="G4" s="65"/>
    </row>
    <row r="5" spans="1:7" x14ac:dyDescent="0.3">
      <c r="A5" s="63" t="s">
        <v>86</v>
      </c>
      <c r="B5" s="64"/>
      <c r="C5" s="65"/>
      <c r="D5" s="64" t="s">
        <v>95</v>
      </c>
      <c r="E5" s="64"/>
      <c r="F5" s="64"/>
      <c r="G5" s="65"/>
    </row>
    <row r="6" spans="1:7" x14ac:dyDescent="0.3">
      <c r="A6" s="77" t="s">
        <v>196</v>
      </c>
      <c r="B6" s="72"/>
      <c r="C6" s="78"/>
      <c r="D6" s="64" t="s">
        <v>96</v>
      </c>
      <c r="E6" s="64"/>
      <c r="F6" s="64"/>
      <c r="G6" s="65"/>
    </row>
    <row r="7" spans="1:7" x14ac:dyDescent="0.3">
      <c r="A7" s="60" t="s">
        <v>87</v>
      </c>
      <c r="B7" s="61"/>
      <c r="C7" s="62"/>
      <c r="D7" s="72" t="s">
        <v>97</v>
      </c>
      <c r="E7" s="73"/>
      <c r="F7" s="73"/>
      <c r="G7" s="74"/>
    </row>
    <row r="8" spans="1:7" x14ac:dyDescent="0.3">
      <c r="A8" s="63" t="s">
        <v>166</v>
      </c>
      <c r="B8" s="64"/>
      <c r="C8" s="65"/>
      <c r="D8" s="75" t="s">
        <v>98</v>
      </c>
      <c r="E8" s="75"/>
      <c r="F8" s="75"/>
      <c r="G8" s="76"/>
    </row>
    <row r="9" spans="1:7" x14ac:dyDescent="0.3">
      <c r="A9" s="85" t="str">
        <f>VLOOKUP(A8,'Customer address'!B1:C151,2,0)</f>
        <v>Ward N.5 Choudhary Mohalla,Tarori,Karnal</v>
      </c>
      <c r="B9" s="86"/>
      <c r="C9" s="87"/>
      <c r="D9" s="64"/>
      <c r="E9" s="64"/>
      <c r="F9" s="64"/>
      <c r="G9" s="65"/>
    </row>
    <row r="10" spans="1:7" x14ac:dyDescent="0.3">
      <c r="A10" s="63" t="str">
        <f>VLOOKUP(A8,'Customer detail'!A1:B103,2,0)</f>
        <v>Adhar No.255455249927</v>
      </c>
      <c r="B10" s="64"/>
      <c r="C10" s="65"/>
      <c r="D10" s="64" t="s">
        <v>99</v>
      </c>
      <c r="E10" s="64"/>
      <c r="F10" s="64"/>
      <c r="G10" s="65"/>
    </row>
    <row r="11" spans="1:7" x14ac:dyDescent="0.3">
      <c r="A11" s="77" t="str">
        <f>VLOOKUP(A8,'Customer detail'!C1:D200,2,0)</f>
        <v>State Name: Haryana,Code No.06</v>
      </c>
      <c r="B11" s="72"/>
      <c r="C11" s="78"/>
      <c r="D11" s="72"/>
      <c r="E11" s="72"/>
      <c r="F11" s="72"/>
      <c r="G11" s="78"/>
    </row>
    <row r="12" spans="1:7" x14ac:dyDescent="0.3">
      <c r="A12" s="11" t="s">
        <v>1</v>
      </c>
      <c r="B12" s="4" t="s">
        <v>92</v>
      </c>
      <c r="C12" s="11" t="s">
        <v>3</v>
      </c>
      <c r="D12" s="4" t="s">
        <v>90</v>
      </c>
      <c r="E12" s="11" t="s">
        <v>5</v>
      </c>
      <c r="F12" s="4" t="s">
        <v>91</v>
      </c>
      <c r="G12" s="21" t="s">
        <v>6</v>
      </c>
    </row>
    <row r="13" spans="1:7" x14ac:dyDescent="0.3">
      <c r="A13" s="13" t="s">
        <v>2</v>
      </c>
      <c r="C13" s="13" t="s">
        <v>4</v>
      </c>
      <c r="D13" s="7"/>
      <c r="E13" s="13"/>
      <c r="G13" s="13"/>
    </row>
    <row r="14" spans="1:7" x14ac:dyDescent="0.3">
      <c r="A14" s="3">
        <f>IF(B14="","",ROW()-ROW(A13))</f>
        <v>1</v>
      </c>
      <c r="B14" s="35" t="s">
        <v>172</v>
      </c>
      <c r="C14" s="11">
        <f>IFERROR(VLOOKUP(B14,'Bill detail'!E13:F16,2,0)," ")</f>
        <v>22021090</v>
      </c>
      <c r="D14" s="4">
        <v>120</v>
      </c>
      <c r="E14" s="3">
        <f>IFERROR(VLOOKUP(B14,'Bill detail'!E19:F19,2,0)," ")</f>
        <v>80</v>
      </c>
      <c r="F14" s="11" t="str">
        <f>IFERROR(VLOOKUP(B14,'Bill detail'!G13:H16,2,0)," ")</f>
        <v>box</v>
      </c>
      <c r="G14" s="5">
        <f>IFERROR(D14*E14,"0")</f>
        <v>9600</v>
      </c>
    </row>
    <row r="15" spans="1:7" x14ac:dyDescent="0.3">
      <c r="A15" s="17" t="str">
        <f>IF(B15="","",ROW()-ROW(A13))</f>
        <v/>
      </c>
      <c r="B15" s="17"/>
      <c r="C15" s="13" t="str">
        <f>IFERROR(VLOOKUP(B15,'Bill detail'!E13:F16,2,0)," ")</f>
        <v xml:space="preserve"> </v>
      </c>
      <c r="E15" s="17" t="str">
        <f>IFERROR(VLOOKUP(B15,'Bill detail'!E19:F23,2,0)," ")</f>
        <v xml:space="preserve"> </v>
      </c>
      <c r="F15" s="13" t="str">
        <f>IFERROR(VLOOKUP(B15,'Bill detail'!G13:H16,2,0)," ")</f>
        <v xml:space="preserve"> </v>
      </c>
      <c r="G15" s="19" t="str">
        <f>IFERROR(D15*E15,"0")</f>
        <v>0</v>
      </c>
    </row>
    <row r="16" spans="1:7" x14ac:dyDescent="0.3">
      <c r="A16" s="17" t="str">
        <f>IF(B16="","",ROW()-ROW(A13))</f>
        <v/>
      </c>
      <c r="B16" s="17"/>
      <c r="C16" s="13" t="str">
        <f>IFERROR(VLOOKUP(B16,'Bill detail'!E13:F16,2,0)," ")</f>
        <v xml:space="preserve"> </v>
      </c>
      <c r="E16" s="17" t="str">
        <f>IFERROR(VLOOKUP(B16,'Bill detail'!E19:F19,2,0)," ")</f>
        <v xml:space="preserve"> </v>
      </c>
      <c r="F16" s="13" t="str">
        <f>IFERROR(VLOOKUP(B16,'Bill detail'!G13:H16,2,0)," ")</f>
        <v xml:space="preserve"> </v>
      </c>
      <c r="G16" s="19" t="str">
        <f>IFERROR(D16*E16,"0")</f>
        <v>0</v>
      </c>
    </row>
    <row r="17" spans="1:7" x14ac:dyDescent="0.3">
      <c r="A17" s="17" t="str">
        <f>IF(B17="","",ROW()-ROW(A13))</f>
        <v/>
      </c>
      <c r="B17" s="17"/>
      <c r="C17" s="13" t="str">
        <f>IFERROR(VLOOKUP(B17,'Bill detail'!E4:F9,2,0)," ")</f>
        <v xml:space="preserve"> </v>
      </c>
      <c r="E17" s="17" t="str">
        <f>IFERROR(VLOOKUP(B17,'Bill detail'!A4:B9,2,0)," ")</f>
        <v xml:space="preserve"> </v>
      </c>
      <c r="F17" s="13"/>
      <c r="G17" s="18" t="str">
        <f t="shared" ref="G17:G18" si="0">IFERROR(D17*E17," ")</f>
        <v xml:space="preserve"> </v>
      </c>
    </row>
    <row r="18" spans="1:7" x14ac:dyDescent="0.3">
      <c r="A18" s="17"/>
      <c r="B18" s="17"/>
      <c r="C18" s="13" t="str">
        <f>IFERROR(VLOOKUP(B18,'Bill detail'!E5:F10,2,0)," ")</f>
        <v xml:space="preserve"> </v>
      </c>
      <c r="E18" s="17" t="str">
        <f>IFERROR(VLOOKUP(B18,'Bill detail'!A5:B10,2,0)," ")</f>
        <v xml:space="preserve"> </v>
      </c>
      <c r="F18" s="13"/>
      <c r="G18" s="18" t="str">
        <f t="shared" si="0"/>
        <v xml:space="preserve"> </v>
      </c>
    </row>
    <row r="19" spans="1:7" x14ac:dyDescent="0.3">
      <c r="A19" s="17"/>
      <c r="B19" s="17"/>
      <c r="C19" s="13"/>
      <c r="E19" s="17"/>
      <c r="F19" s="13"/>
      <c r="G19" s="18"/>
    </row>
    <row r="20" spans="1:7" x14ac:dyDescent="0.3">
      <c r="A20" s="17"/>
      <c r="B20" s="34" t="s">
        <v>8</v>
      </c>
      <c r="C20" s="13"/>
      <c r="D20" t="str">
        <f>IFERROR(VLOOKUP(#REF!,'Bill detail'!A8:B10,2,0)," ")</f>
        <v xml:space="preserve"> </v>
      </c>
      <c r="E20" s="33">
        <f>IFERROR(VLOOKUP(B20,'Bill detail'!A13:B16,2,0),"0")</f>
        <v>0.14000000000000001</v>
      </c>
      <c r="F20" s="16"/>
      <c r="G20" s="18">
        <f>IFERROR((G14+G15+G16)*E20,"0")</f>
        <v>1344.0000000000002</v>
      </c>
    </row>
    <row r="21" spans="1:7" x14ac:dyDescent="0.3">
      <c r="A21" s="17"/>
      <c r="B21" s="34" t="s">
        <v>7</v>
      </c>
      <c r="C21" s="13" t="str">
        <f>IFERROR(VLOOKUP(#REF!,'Bill detail'!A8:B10,2,0)," ")</f>
        <v xml:space="preserve"> </v>
      </c>
      <c r="E21" s="33">
        <f>IFERROR(VLOOKUP(B21,'Bill detail'!A14:B17,2,0),"0")</f>
        <v>0.14000000000000001</v>
      </c>
      <c r="F21" s="13"/>
      <c r="G21" s="19">
        <f>IFERROR((G14+G15+G16)*E21,"0")</f>
        <v>1344.0000000000002</v>
      </c>
    </row>
    <row r="22" spans="1:7" x14ac:dyDescent="0.3">
      <c r="A22" s="17"/>
      <c r="B22" s="34" t="s">
        <v>175</v>
      </c>
      <c r="C22" s="13"/>
      <c r="D22" t="str">
        <f>IFERROR(VLOOKUP(#REF!,'Bill detail'!A8:B10,2,0)," ")</f>
        <v xml:space="preserve"> </v>
      </c>
      <c r="E22" s="33">
        <f>IFERROR(VLOOKUP(B22,'Bill detail'!A15:B18,2,0),"0")</f>
        <v>0.12</v>
      </c>
      <c r="F22" s="13"/>
      <c r="G22" s="19">
        <f>IFERROR((G14+G15+G16)*E22,"0")</f>
        <v>1152</v>
      </c>
    </row>
    <row r="23" spans="1:7" x14ac:dyDescent="0.3">
      <c r="A23" s="20"/>
      <c r="B23" s="20"/>
      <c r="C23" s="12"/>
      <c r="E23" s="20"/>
      <c r="F23" s="12"/>
      <c r="G23" s="24"/>
    </row>
    <row r="24" spans="1:7" x14ac:dyDescent="0.3">
      <c r="A24" s="8"/>
      <c r="B24" s="32" t="s">
        <v>34</v>
      </c>
      <c r="C24" s="12"/>
      <c r="D24" s="9">
        <f>D14+D15+D16</f>
        <v>120</v>
      </c>
      <c r="E24" s="12"/>
      <c r="F24" s="7"/>
      <c r="G24" s="8">
        <f>G14+G15+G16+G20+G21+G22</f>
        <v>13440</v>
      </c>
    </row>
    <row r="25" spans="1:7" x14ac:dyDescent="0.3">
      <c r="A25" s="101" t="s">
        <v>140</v>
      </c>
      <c r="B25" s="102"/>
      <c r="C25" s="102"/>
      <c r="D25" s="102"/>
      <c r="E25" s="102"/>
      <c r="F25" s="102"/>
      <c r="G25" s="103"/>
    </row>
    <row r="26" spans="1:7" x14ac:dyDescent="0.3">
      <c r="A26" s="94" t="str">
        <f>converttowords(G24)</f>
        <v>Thirteen Thousand Four Hundred Forty</v>
      </c>
      <c r="B26" s="73"/>
      <c r="C26" s="73"/>
      <c r="D26" s="73"/>
      <c r="E26" s="73"/>
      <c r="F26" s="73"/>
      <c r="G26" s="74"/>
    </row>
    <row r="27" spans="1:7" x14ac:dyDescent="0.3">
      <c r="A27" s="89" t="s">
        <v>147</v>
      </c>
      <c r="B27" s="90"/>
      <c r="C27" s="8" t="str">
        <f>IFERROR(VLOOKUP(B20,'Bill detail'!A21:B26,2,0)," ")</f>
        <v>SGST 14%</v>
      </c>
      <c r="D27" s="8" t="str">
        <f>IFERROR(VLOOKUP(B21,'Bill detail'!A21:B26,2,0)," ")</f>
        <v>CGST 14%</v>
      </c>
      <c r="E27" s="8" t="str">
        <f>IFERROR(VLOOKUP(B22,'Bill detail'!A21:B26,2,0)," ")</f>
        <v>CESS 12%</v>
      </c>
      <c r="F27" s="9" t="s">
        <v>179</v>
      </c>
      <c r="G27" s="8" t="s">
        <v>148</v>
      </c>
    </row>
    <row r="28" spans="1:7" x14ac:dyDescent="0.3">
      <c r="A28" s="91"/>
      <c r="B28" s="92"/>
      <c r="C28" s="13">
        <f>IFERROR(VLOOKUP(C27,'Bill detail'!A29:B34,2,0)," ")*(G14+G15+G16)</f>
        <v>1344.0000000000002</v>
      </c>
      <c r="D28" s="13">
        <f>IFERROR(VLOOKUP(D27,'Bill detail'!A29:B34,2,0)*(G14+G15+G16)," ")</f>
        <v>1344.0000000000002</v>
      </c>
      <c r="E28" s="13">
        <f>IFERROR(VLOOKUP(E27,'Bill detail'!A29:B34,2,0)*(G14+G15+G16)," ")</f>
        <v>1152</v>
      </c>
      <c r="F28">
        <f>G20+G21+G22</f>
        <v>3840.0000000000005</v>
      </c>
      <c r="G28" s="13">
        <f>G24</f>
        <v>13440</v>
      </c>
    </row>
    <row r="29" spans="1:7" x14ac:dyDescent="0.3">
      <c r="A29" s="88" t="s">
        <v>155</v>
      </c>
      <c r="B29" s="58"/>
      <c r="C29" s="58" t="str">
        <f>converttowords(G20+G21+G22)</f>
        <v>Three Thousand Eight Hundred Forty</v>
      </c>
      <c r="D29" s="58"/>
      <c r="E29" s="58"/>
      <c r="F29" s="58"/>
      <c r="G29" s="59"/>
    </row>
    <row r="30" spans="1:7" x14ac:dyDescent="0.3">
      <c r="A30" s="93"/>
      <c r="B30" s="93"/>
      <c r="C30" s="93"/>
      <c r="D30" s="93"/>
      <c r="E30" s="93"/>
      <c r="F30" s="93"/>
      <c r="G30" s="93"/>
    </row>
    <row r="31" spans="1:7" x14ac:dyDescent="0.3">
      <c r="A31" s="60" t="s">
        <v>87</v>
      </c>
      <c r="B31" s="62"/>
      <c r="C31" s="60" t="s">
        <v>141</v>
      </c>
      <c r="D31" s="62"/>
      <c r="E31" s="60" t="s">
        <v>88</v>
      </c>
      <c r="F31" s="62"/>
      <c r="G31" s="8" t="s">
        <v>144</v>
      </c>
    </row>
    <row r="32" spans="1:7" x14ac:dyDescent="0.3">
      <c r="A32" s="63" t="str">
        <f>A8</f>
        <v>Naresh Chand</v>
      </c>
      <c r="B32" s="65"/>
      <c r="C32" s="95" t="str">
        <f>D2</f>
        <v>HR65A0174</v>
      </c>
      <c r="D32" s="96"/>
      <c r="E32" s="68">
        <f ca="1">NOW()</f>
        <v>45764.392086111111</v>
      </c>
      <c r="F32" s="97"/>
      <c r="G32" s="6" t="s">
        <v>0</v>
      </c>
    </row>
    <row r="33" spans="1:9" x14ac:dyDescent="0.3">
      <c r="A33" s="63" t="str">
        <f>A9</f>
        <v>Ward N.5 Choudhary Mohalla,Tarori,Karnal</v>
      </c>
      <c r="B33" s="65"/>
      <c r="C33" s="60" t="s">
        <v>142</v>
      </c>
      <c r="D33" s="61"/>
      <c r="E33" s="61"/>
      <c r="F33" s="62"/>
      <c r="G33" s="6" t="s">
        <v>145</v>
      </c>
    </row>
    <row r="34" spans="1:9" x14ac:dyDescent="0.3">
      <c r="A34" s="63" t="str">
        <f>A10</f>
        <v>Adhar No.255455249927</v>
      </c>
      <c r="B34" s="65"/>
      <c r="C34" s="98" t="s">
        <v>143</v>
      </c>
      <c r="D34" s="99"/>
      <c r="E34" s="99"/>
      <c r="F34" s="100"/>
      <c r="G34" s="6" t="s">
        <v>146</v>
      </c>
    </row>
    <row r="35" spans="1:9" x14ac:dyDescent="0.3">
      <c r="A35" s="77" t="str">
        <f>A11</f>
        <v>State Name: Haryana,Code No.06</v>
      </c>
      <c r="B35" s="78"/>
      <c r="C35" s="94"/>
      <c r="D35" s="73"/>
      <c r="E35" s="73"/>
      <c r="F35" s="74"/>
      <c r="G35" s="6" t="str">
        <f>A6</f>
        <v>Invoice No. 234</v>
      </c>
    </row>
    <row r="36" spans="1:9" x14ac:dyDescent="0.3">
      <c r="A36" s="11" t="s">
        <v>1</v>
      </c>
      <c r="B36" s="4" t="s">
        <v>92</v>
      </c>
      <c r="C36" s="11" t="s">
        <v>3</v>
      </c>
      <c r="D36" s="4" t="s">
        <v>90</v>
      </c>
      <c r="E36" s="11" t="s">
        <v>5</v>
      </c>
      <c r="F36" s="4" t="s">
        <v>91</v>
      </c>
      <c r="G36" s="21" t="s">
        <v>6</v>
      </c>
    </row>
    <row r="37" spans="1:9" x14ac:dyDescent="0.3">
      <c r="A37" s="13" t="s">
        <v>2</v>
      </c>
      <c r="B37" s="7"/>
      <c r="C37" s="13" t="s">
        <v>4</v>
      </c>
      <c r="D37" s="7"/>
      <c r="E37" s="13"/>
      <c r="G37" s="13"/>
    </row>
    <row r="38" spans="1:9" x14ac:dyDescent="0.3">
      <c r="A38" s="11">
        <f t="shared" ref="A38:G38" si="1">A14</f>
        <v>1</v>
      </c>
      <c r="B38" s="4" t="str">
        <f t="shared" si="1"/>
        <v>200ml Zeera Soda</v>
      </c>
      <c r="C38" s="11">
        <f t="shared" si="1"/>
        <v>22021090</v>
      </c>
      <c r="D38" s="4">
        <f t="shared" si="1"/>
        <v>120</v>
      </c>
      <c r="E38" s="11">
        <f t="shared" si="1"/>
        <v>80</v>
      </c>
      <c r="F38" s="11" t="str">
        <f t="shared" si="1"/>
        <v>box</v>
      </c>
      <c r="G38" s="11">
        <f t="shared" si="1"/>
        <v>9600</v>
      </c>
    </row>
    <row r="39" spans="1:9" x14ac:dyDescent="0.3">
      <c r="A39" s="13" t="str">
        <f t="shared" ref="A39:C40" si="2">A15</f>
        <v/>
      </c>
      <c r="B39">
        <f t="shared" si="2"/>
        <v>0</v>
      </c>
      <c r="C39" s="13" t="str">
        <f t="shared" si="2"/>
        <v xml:space="preserve"> </v>
      </c>
      <c r="D39">
        <f>IFERROR(D15," ")</f>
        <v>0</v>
      </c>
      <c r="E39" s="13" t="str">
        <f t="shared" ref="E39:G40" si="3">E15</f>
        <v xml:space="preserve"> </v>
      </c>
      <c r="F39" s="13" t="str">
        <f t="shared" si="3"/>
        <v xml:space="preserve"> </v>
      </c>
      <c r="G39" s="16" t="str">
        <f t="shared" si="3"/>
        <v>0</v>
      </c>
    </row>
    <row r="40" spans="1:9" x14ac:dyDescent="0.3">
      <c r="A40" s="13" t="str">
        <f t="shared" si="2"/>
        <v/>
      </c>
      <c r="B40">
        <f t="shared" si="2"/>
        <v>0</v>
      </c>
      <c r="C40" s="13" t="str">
        <f t="shared" si="2"/>
        <v xml:space="preserve"> </v>
      </c>
      <c r="D40">
        <f>D16</f>
        <v>0</v>
      </c>
      <c r="E40" s="13" t="str">
        <f t="shared" si="3"/>
        <v xml:space="preserve"> </v>
      </c>
      <c r="F40" s="13" t="str">
        <f t="shared" si="3"/>
        <v xml:space="preserve"> </v>
      </c>
      <c r="G40" s="16" t="str">
        <f t="shared" si="3"/>
        <v>0</v>
      </c>
    </row>
    <row r="41" spans="1:9" x14ac:dyDescent="0.3">
      <c r="A41" s="13" t="str">
        <f>IF(B17="","",ROW()-ROW(A37))</f>
        <v/>
      </c>
      <c r="C41" s="13"/>
      <c r="E41" s="13"/>
      <c r="F41" s="13"/>
      <c r="G41" s="13"/>
    </row>
    <row r="42" spans="1:9" x14ac:dyDescent="0.3">
      <c r="A42" s="12"/>
      <c r="C42" s="13"/>
      <c r="E42" s="12"/>
      <c r="F42" s="12"/>
      <c r="G42" s="13"/>
    </row>
    <row r="43" spans="1:9" x14ac:dyDescent="0.3">
      <c r="A43" s="8"/>
      <c r="B43" s="14" t="s">
        <v>34</v>
      </c>
      <c r="C43" s="8"/>
      <c r="D43" s="9">
        <f>D38+D39+D40</f>
        <v>120</v>
      </c>
      <c r="E43" s="8"/>
      <c r="F43" s="9"/>
      <c r="G43" s="8">
        <f>G38+G39+G40</f>
        <v>9600</v>
      </c>
    </row>
    <row r="44" spans="1:9" x14ac:dyDescent="0.3">
      <c r="A44" s="88" t="s">
        <v>156</v>
      </c>
      <c r="B44" s="58"/>
      <c r="C44" s="58" t="str">
        <f>converttowords(G46)</f>
        <v>Thirteen Thousand Four Hundred Forty</v>
      </c>
      <c r="D44" s="58"/>
      <c r="E44" s="58"/>
      <c r="F44" s="58"/>
      <c r="G44" s="59"/>
      <c r="I44" s="15"/>
    </row>
    <row r="45" spans="1:9" x14ac:dyDescent="0.3">
      <c r="A45" s="89" t="s">
        <v>147</v>
      </c>
      <c r="B45" s="90"/>
      <c r="C45" s="9" t="str">
        <f>C27</f>
        <v>SGST 14%</v>
      </c>
      <c r="D45" s="8" t="str">
        <f>D27</f>
        <v>CGST 14%</v>
      </c>
      <c r="E45" s="9" t="str">
        <f>E27</f>
        <v>CESS 12%</v>
      </c>
      <c r="F45" s="8" t="s">
        <v>180</v>
      </c>
      <c r="G45" s="8" t="s">
        <v>148</v>
      </c>
    </row>
    <row r="46" spans="1:9" x14ac:dyDescent="0.3">
      <c r="A46" s="94" t="s">
        <v>152</v>
      </c>
      <c r="B46" s="74"/>
      <c r="C46" s="8">
        <f>IFERROR(C28," ")</f>
        <v>1344.0000000000002</v>
      </c>
      <c r="D46" s="8">
        <f t="shared" ref="D46:E46" si="4">IFERROR(D28," ")</f>
        <v>1344.0000000000002</v>
      </c>
      <c r="E46" s="8">
        <f t="shared" si="4"/>
        <v>1152</v>
      </c>
      <c r="F46" s="7">
        <f>F28</f>
        <v>3840.0000000000005</v>
      </c>
      <c r="G46" s="8">
        <f>G43+F46</f>
        <v>13440</v>
      </c>
    </row>
    <row r="47" spans="1:9" x14ac:dyDescent="0.3">
      <c r="A47" s="88" t="s">
        <v>153</v>
      </c>
      <c r="B47" s="58"/>
      <c r="C47" s="58"/>
      <c r="D47" s="58"/>
      <c r="E47" s="58"/>
      <c r="F47" s="58"/>
      <c r="G47" s="59"/>
    </row>
  </sheetData>
  <mergeCells count="48">
    <mergeCell ref="A44:B44"/>
    <mergeCell ref="C44:G44"/>
    <mergeCell ref="A45:B45"/>
    <mergeCell ref="A46:B46"/>
    <mergeCell ref="A47:G47"/>
    <mergeCell ref="A33:B33"/>
    <mergeCell ref="C33:F33"/>
    <mergeCell ref="A34:B34"/>
    <mergeCell ref="C34:F34"/>
    <mergeCell ref="A35:B35"/>
    <mergeCell ref="C35:F35"/>
    <mergeCell ref="A30:G30"/>
    <mergeCell ref="A31:B31"/>
    <mergeCell ref="C31:D31"/>
    <mergeCell ref="E31:F31"/>
    <mergeCell ref="A32:B32"/>
    <mergeCell ref="C32:D32"/>
    <mergeCell ref="E32:F32"/>
    <mergeCell ref="A25:G25"/>
    <mergeCell ref="A26:G26"/>
    <mergeCell ref="A27:B27"/>
    <mergeCell ref="A28:B28"/>
    <mergeCell ref="A29:B29"/>
    <mergeCell ref="C29:G29"/>
    <mergeCell ref="A9:C9"/>
    <mergeCell ref="D9:G9"/>
    <mergeCell ref="A10:C10"/>
    <mergeCell ref="D10:G10"/>
    <mergeCell ref="A11:C11"/>
    <mergeCell ref="D11:G11"/>
    <mergeCell ref="A6:C6"/>
    <mergeCell ref="D6:G6"/>
    <mergeCell ref="A7:C7"/>
    <mergeCell ref="D7:G7"/>
    <mergeCell ref="A8:C8"/>
    <mergeCell ref="D8:G8"/>
    <mergeCell ref="A3:C3"/>
    <mergeCell ref="D3:G3"/>
    <mergeCell ref="A4:C4"/>
    <mergeCell ref="D4:G4"/>
    <mergeCell ref="A5:C5"/>
    <mergeCell ref="D5:G5"/>
    <mergeCell ref="A1:C1"/>
    <mergeCell ref="D1:E1"/>
    <mergeCell ref="F1:G1"/>
    <mergeCell ref="A2:C2"/>
    <mergeCell ref="D2:E2"/>
    <mergeCell ref="F2:G2"/>
  </mergeCells>
  <pageMargins left="0.7" right="0.7" top="0.75" bottom="0.75" header="0.3" footer="0.3"/>
  <pageSetup orientation="portrait" r:id="rId1"/>
  <headerFooter>
    <oddHeader xml:space="preserve">&amp;C&amp;"+,Bold"Guru Kirpa Beverage Invoice Original Copy
</oddHeader>
    <oddFooter>&amp;C&amp;"+,Bold" By Guru Kirpa Beverage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A77464-0732-4879-A2B6-6DF9EE4FD0EE}">
          <x14:formula1>
            <xm:f>'Bill detail'!$A$2:$A$6</xm:f>
          </x14:formula1>
          <xm:sqref>B17:B18</xm:sqref>
        </x14:dataValidation>
        <x14:dataValidation type="list" allowBlank="1" showInputMessage="1" showErrorMessage="1" xr:uid="{DC7C4832-2344-4A85-B23C-9B72DAAE1069}">
          <x14:formula1>
            <xm:f>'Customer detail'!$A$1:$A$293</xm:f>
          </x14:formula1>
          <xm:sqref>A8:C8</xm:sqref>
        </x14:dataValidation>
        <x14:dataValidation type="list" allowBlank="1" showInputMessage="1" showErrorMessage="1" xr:uid="{9B077F79-1F9A-4B0C-9184-60FA425E4EDB}">
          <x14:formula1>
            <xm:f>'Bill detail'!$E$19:$E$22</xm:f>
          </x14:formula1>
          <xm:sqref>B14:B16</xm:sqref>
        </x14:dataValidation>
        <x14:dataValidation type="list" allowBlank="1" showInputMessage="1" showErrorMessage="1" xr:uid="{CB13AC3C-A0E4-41E4-9940-DE9BEE4A28BE}">
          <x14:formula1>
            <xm:f>'Bill detail'!$A$13:$A$18</xm:f>
          </x14:formula1>
          <xm:sqref>B20:B22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C19AB-A743-46DE-8AF1-B7A73348267C}">
  <sheetPr codeName="Sheet3"/>
  <dimension ref="A1:H34"/>
  <sheetViews>
    <sheetView zoomScale="148" workbookViewId="0">
      <selection activeCell="E25" sqref="E25"/>
    </sheetView>
  </sheetViews>
  <sheetFormatPr defaultRowHeight="14.4" x14ac:dyDescent="0.3"/>
  <cols>
    <col min="1" max="1" width="17.33203125" customWidth="1"/>
    <col min="2" max="2" width="10.44140625" bestFit="1" customWidth="1"/>
    <col min="5" max="5" width="15.6640625" customWidth="1"/>
    <col min="6" max="6" width="9.44140625" customWidth="1"/>
    <col min="7" max="7" width="15.6640625" customWidth="1"/>
    <col min="9" max="9" width="12.44140625" customWidth="1"/>
    <col min="10" max="10" width="33.6640625" customWidth="1"/>
    <col min="12" max="12" width="36.77734375" customWidth="1"/>
  </cols>
  <sheetData>
    <row r="1" spans="1:8" x14ac:dyDescent="0.3">
      <c r="A1" s="8" t="s">
        <v>43</v>
      </c>
      <c r="B1" s="9" t="s">
        <v>5</v>
      </c>
      <c r="C1" s="8" t="s">
        <v>46</v>
      </c>
      <c r="E1" s="23" t="s">
        <v>43</v>
      </c>
      <c r="F1" s="8" t="s">
        <v>46</v>
      </c>
      <c r="G1" s="9" t="s">
        <v>43</v>
      </c>
      <c r="H1" s="8" t="s">
        <v>91</v>
      </c>
    </row>
    <row r="2" spans="1:8" x14ac:dyDescent="0.3">
      <c r="A2" s="13" t="s">
        <v>40</v>
      </c>
      <c r="B2">
        <v>55</v>
      </c>
      <c r="C2" s="13">
        <v>2201</v>
      </c>
      <c r="E2" s="17" t="s">
        <v>40</v>
      </c>
      <c r="F2" s="13">
        <v>2201</v>
      </c>
      <c r="G2" t="s">
        <v>40</v>
      </c>
      <c r="H2" s="13" t="s">
        <v>139</v>
      </c>
    </row>
    <row r="3" spans="1:8" x14ac:dyDescent="0.3">
      <c r="A3" s="13" t="s">
        <v>39</v>
      </c>
      <c r="B3">
        <v>45</v>
      </c>
      <c r="C3" s="13">
        <v>2201</v>
      </c>
      <c r="E3" s="17" t="s">
        <v>39</v>
      </c>
      <c r="F3" s="13">
        <v>2201</v>
      </c>
      <c r="G3" t="s">
        <v>39</v>
      </c>
      <c r="H3" s="13" t="s">
        <v>139</v>
      </c>
    </row>
    <row r="4" spans="1:8" x14ac:dyDescent="0.3">
      <c r="A4" s="13" t="s">
        <v>44</v>
      </c>
      <c r="B4">
        <v>50</v>
      </c>
      <c r="C4" s="13">
        <v>2201</v>
      </c>
      <c r="E4" s="17" t="s">
        <v>44</v>
      </c>
      <c r="F4" s="13">
        <v>2201</v>
      </c>
      <c r="G4" t="s">
        <v>44</v>
      </c>
      <c r="H4" s="13" t="s">
        <v>139</v>
      </c>
    </row>
    <row r="5" spans="1:8" x14ac:dyDescent="0.3">
      <c r="A5" s="13" t="s">
        <v>165</v>
      </c>
      <c r="B5">
        <v>105</v>
      </c>
      <c r="C5" s="13">
        <v>2202</v>
      </c>
      <c r="E5" s="17" t="s">
        <v>165</v>
      </c>
      <c r="F5" s="13">
        <v>2202</v>
      </c>
      <c r="G5" t="s">
        <v>165</v>
      </c>
      <c r="H5" s="13" t="s">
        <v>139</v>
      </c>
    </row>
    <row r="6" spans="1:8" x14ac:dyDescent="0.3">
      <c r="A6" s="12" t="s">
        <v>45</v>
      </c>
      <c r="B6" s="7">
        <v>50</v>
      </c>
      <c r="C6" s="12">
        <v>2202</v>
      </c>
      <c r="E6" s="20" t="s">
        <v>45</v>
      </c>
      <c r="F6" s="12">
        <v>2202</v>
      </c>
      <c r="G6" s="7" t="s">
        <v>45</v>
      </c>
      <c r="H6" s="12" t="s">
        <v>139</v>
      </c>
    </row>
    <row r="8" spans="1:8" x14ac:dyDescent="0.3">
      <c r="A8" s="28" t="s">
        <v>100</v>
      </c>
      <c r="B8" s="29">
        <v>0.18</v>
      </c>
      <c r="E8" s="28" t="s">
        <v>100</v>
      </c>
      <c r="F8" s="29" t="s">
        <v>151</v>
      </c>
      <c r="G8" s="3" t="s">
        <v>151</v>
      </c>
      <c r="H8" s="29">
        <v>0.18</v>
      </c>
    </row>
    <row r="9" spans="1:8" x14ac:dyDescent="0.3">
      <c r="A9" s="25" t="s">
        <v>8</v>
      </c>
      <c r="B9" s="26">
        <v>0.09</v>
      </c>
      <c r="E9" s="25" t="s">
        <v>8</v>
      </c>
      <c r="F9" s="26" t="s">
        <v>150</v>
      </c>
      <c r="G9" s="17" t="s">
        <v>150</v>
      </c>
      <c r="H9" s="26">
        <v>0.09</v>
      </c>
    </row>
    <row r="10" spans="1:8" x14ac:dyDescent="0.3">
      <c r="A10" s="30" t="s">
        <v>7</v>
      </c>
      <c r="B10" s="31">
        <v>0.09</v>
      </c>
      <c r="E10" s="30" t="s">
        <v>7</v>
      </c>
      <c r="F10" s="31" t="s">
        <v>149</v>
      </c>
      <c r="G10" s="20" t="s">
        <v>149</v>
      </c>
      <c r="H10" s="31">
        <v>0.09</v>
      </c>
    </row>
    <row r="12" spans="1:8" x14ac:dyDescent="0.3">
      <c r="A12" s="8" t="s">
        <v>154</v>
      </c>
      <c r="B12" s="8" t="s">
        <v>176</v>
      </c>
      <c r="E12" s="8" t="s">
        <v>43</v>
      </c>
      <c r="F12" s="8" t="s">
        <v>46</v>
      </c>
      <c r="G12" s="8" t="s">
        <v>43</v>
      </c>
      <c r="H12" s="8" t="s">
        <v>91</v>
      </c>
    </row>
    <row r="13" spans="1:8" x14ac:dyDescent="0.3">
      <c r="A13" s="27" t="s">
        <v>100</v>
      </c>
      <c r="B13" s="26">
        <v>0.28000000000000003</v>
      </c>
      <c r="E13" s="11" t="s">
        <v>172</v>
      </c>
      <c r="F13" s="5">
        <v>22021090</v>
      </c>
      <c r="G13" s="11" t="s">
        <v>172</v>
      </c>
      <c r="H13" s="18" t="s">
        <v>139</v>
      </c>
    </row>
    <row r="14" spans="1:8" x14ac:dyDescent="0.3">
      <c r="A14" s="27" t="s">
        <v>8</v>
      </c>
      <c r="B14" s="26">
        <v>0.14000000000000001</v>
      </c>
      <c r="E14" s="13"/>
      <c r="F14" s="18"/>
      <c r="G14" s="17"/>
      <c r="H14" s="18"/>
    </row>
    <row r="15" spans="1:8" x14ac:dyDescent="0.3">
      <c r="A15" s="27" t="s">
        <v>7</v>
      </c>
      <c r="B15" s="26">
        <v>0.14000000000000001</v>
      </c>
      <c r="E15" s="13"/>
      <c r="F15" s="18"/>
      <c r="G15" s="17"/>
      <c r="H15" s="18"/>
    </row>
    <row r="16" spans="1:8" x14ac:dyDescent="0.3">
      <c r="A16" s="27" t="s">
        <v>175</v>
      </c>
      <c r="B16" s="26">
        <v>0.12</v>
      </c>
      <c r="E16" s="12"/>
      <c r="F16" s="24"/>
      <c r="G16" s="20"/>
      <c r="H16" s="24"/>
    </row>
    <row r="17" spans="1:8" x14ac:dyDescent="0.3">
      <c r="A17" s="13"/>
      <c r="B17" s="18"/>
    </row>
    <row r="18" spans="1:8" x14ac:dyDescent="0.3">
      <c r="A18" s="12"/>
      <c r="B18" s="24"/>
      <c r="E18" s="8" t="s">
        <v>43</v>
      </c>
      <c r="F18" s="9" t="s">
        <v>5</v>
      </c>
      <c r="G18" s="8"/>
      <c r="H18" s="22"/>
    </row>
    <row r="19" spans="1:8" x14ac:dyDescent="0.3">
      <c r="E19" s="11" t="s">
        <v>172</v>
      </c>
      <c r="F19">
        <v>80</v>
      </c>
      <c r="G19" s="13"/>
      <c r="H19" s="18"/>
    </row>
    <row r="20" spans="1:8" x14ac:dyDescent="0.3">
      <c r="A20" s="8" t="s">
        <v>154</v>
      </c>
      <c r="B20" s="8" t="s">
        <v>176</v>
      </c>
      <c r="E20" s="13"/>
      <c r="G20" s="13"/>
      <c r="H20" s="18"/>
    </row>
    <row r="21" spans="1:8" x14ac:dyDescent="0.3">
      <c r="A21" s="27" t="s">
        <v>100</v>
      </c>
      <c r="B21" s="26" t="s">
        <v>178</v>
      </c>
      <c r="E21" s="13"/>
      <c r="G21" s="13"/>
      <c r="H21" s="18"/>
    </row>
    <row r="22" spans="1:8" x14ac:dyDescent="0.3">
      <c r="A22" s="27" t="s">
        <v>8</v>
      </c>
      <c r="B22" s="26" t="s">
        <v>170</v>
      </c>
      <c r="E22" s="12"/>
      <c r="F22" s="7"/>
      <c r="G22" s="12"/>
      <c r="H22" s="24"/>
    </row>
    <row r="23" spans="1:8" x14ac:dyDescent="0.3">
      <c r="A23" s="27" t="s">
        <v>7</v>
      </c>
      <c r="B23" s="26" t="s">
        <v>171</v>
      </c>
    </row>
    <row r="24" spans="1:8" x14ac:dyDescent="0.3">
      <c r="A24" s="27" t="s">
        <v>175</v>
      </c>
      <c r="B24" s="26" t="s">
        <v>177</v>
      </c>
    </row>
    <row r="25" spans="1:8" x14ac:dyDescent="0.3">
      <c r="A25" s="13"/>
      <c r="B25" s="18"/>
    </row>
    <row r="26" spans="1:8" x14ac:dyDescent="0.3">
      <c r="A26" s="12"/>
      <c r="B26" s="24"/>
    </row>
    <row r="28" spans="1:8" x14ac:dyDescent="0.3">
      <c r="A28" s="8" t="s">
        <v>154</v>
      </c>
      <c r="B28" s="8" t="s">
        <v>176</v>
      </c>
    </row>
    <row r="29" spans="1:8" x14ac:dyDescent="0.3">
      <c r="A29" s="13" t="s">
        <v>178</v>
      </c>
      <c r="B29" s="26">
        <v>0.28000000000000003</v>
      </c>
    </row>
    <row r="30" spans="1:8" x14ac:dyDescent="0.3">
      <c r="A30" s="13" t="s">
        <v>170</v>
      </c>
      <c r="B30" s="26">
        <f>B29/2</f>
        <v>0.14000000000000001</v>
      </c>
    </row>
    <row r="31" spans="1:8" x14ac:dyDescent="0.3">
      <c r="A31" s="13" t="s">
        <v>171</v>
      </c>
      <c r="B31" s="26">
        <f>B30</f>
        <v>0.14000000000000001</v>
      </c>
    </row>
    <row r="32" spans="1:8" x14ac:dyDescent="0.3">
      <c r="A32" s="13" t="s">
        <v>177</v>
      </c>
      <c r="B32" s="26">
        <v>0.12</v>
      </c>
    </row>
    <row r="33" spans="1:2" x14ac:dyDescent="0.3">
      <c r="A33" s="13"/>
      <c r="B33" s="18"/>
    </row>
    <row r="34" spans="1:2" x14ac:dyDescent="0.3">
      <c r="A34" s="12"/>
      <c r="B34" s="2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77742-A701-4743-8394-0931DEA79AC0}">
  <sheetPr codeName="Sheet6"/>
  <dimension ref="A1:G1"/>
  <sheetViews>
    <sheetView zoomScale="113" workbookViewId="0">
      <selection activeCell="B2" sqref="B2"/>
    </sheetView>
  </sheetViews>
  <sheetFormatPr defaultRowHeight="14.4" x14ac:dyDescent="0.3"/>
  <cols>
    <col min="1" max="1" width="5.21875" style="8" customWidth="1"/>
    <col min="2" max="2" width="33.109375" style="8" customWidth="1"/>
    <col min="3" max="3" width="11.5546875" style="8" customWidth="1"/>
    <col min="4" max="4" width="33.6640625" style="8" customWidth="1"/>
    <col min="5" max="5" width="15.5546875" style="8" customWidth="1"/>
    <col min="6" max="6" width="24.33203125" style="8" customWidth="1"/>
    <col min="7" max="7" width="26.77734375" style="8" customWidth="1"/>
    <col min="8" max="8" width="35.21875" style="8" customWidth="1"/>
    <col min="9" max="16384" width="8.88671875" style="8"/>
  </cols>
  <sheetData>
    <row r="1" spans="1:7" x14ac:dyDescent="0.3">
      <c r="A1" s="57" t="s">
        <v>189</v>
      </c>
      <c r="B1" s="57" t="s">
        <v>190</v>
      </c>
      <c r="C1" s="57" t="s">
        <v>191</v>
      </c>
      <c r="D1" s="57" t="s">
        <v>192</v>
      </c>
      <c r="E1" s="57" t="s">
        <v>193</v>
      </c>
      <c r="F1" s="57" t="s">
        <v>194</v>
      </c>
      <c r="G1" s="57" t="s"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DDDD-ED58-4B3D-8FBB-51FDA85423B0}">
  <sheetPr codeName="Sheet4"/>
  <dimension ref="A1:E250"/>
  <sheetViews>
    <sheetView topLeftCell="A6" zoomScale="118" workbookViewId="0">
      <selection activeCell="B8" sqref="B8"/>
    </sheetView>
  </sheetViews>
  <sheetFormatPr defaultRowHeight="14.4" x14ac:dyDescent="0.3"/>
  <cols>
    <col min="1" max="1" width="10.5546875" customWidth="1"/>
    <col min="2" max="2" width="54.5546875" customWidth="1"/>
    <col min="3" max="3" width="74.33203125" customWidth="1"/>
    <col min="4" max="4" width="25.5546875" hidden="1" customWidth="1"/>
    <col min="5" max="5" width="24.6640625" customWidth="1"/>
  </cols>
  <sheetData>
    <row r="1" spans="1:5" ht="21" x14ac:dyDescent="0.4">
      <c r="A1" s="54">
        <v>1</v>
      </c>
      <c r="B1" s="54" t="s">
        <v>42</v>
      </c>
      <c r="C1" s="54" t="s">
        <v>41</v>
      </c>
      <c r="D1" s="1"/>
      <c r="E1" s="1">
        <v>9518060236</v>
      </c>
    </row>
    <row r="2" spans="1:5" ht="21" x14ac:dyDescent="0.4">
      <c r="A2" s="54">
        <v>2</v>
      </c>
      <c r="B2" s="54" t="s">
        <v>47</v>
      </c>
      <c r="C2" s="54" t="s">
        <v>63</v>
      </c>
      <c r="D2" s="1"/>
      <c r="E2" s="1">
        <v>7988662722</v>
      </c>
    </row>
    <row r="3" spans="1:5" ht="21" x14ac:dyDescent="0.4">
      <c r="A3" s="54">
        <v>3</v>
      </c>
      <c r="B3" s="54" t="s">
        <v>48</v>
      </c>
      <c r="C3" s="54" t="s">
        <v>64</v>
      </c>
      <c r="D3" s="1"/>
      <c r="E3" s="1">
        <v>8699033555</v>
      </c>
    </row>
    <row r="4" spans="1:5" ht="21" x14ac:dyDescent="0.4">
      <c r="A4" s="54">
        <v>4</v>
      </c>
      <c r="B4" s="54" t="s">
        <v>49</v>
      </c>
      <c r="C4" s="54" t="s">
        <v>65</v>
      </c>
      <c r="D4" s="1"/>
      <c r="E4" s="1">
        <v>8054999782</v>
      </c>
    </row>
    <row r="5" spans="1:5" ht="21" x14ac:dyDescent="0.4">
      <c r="A5" s="54">
        <v>5</v>
      </c>
      <c r="B5" s="54" t="s">
        <v>50</v>
      </c>
      <c r="C5" s="54" t="s">
        <v>66</v>
      </c>
      <c r="D5" s="1"/>
      <c r="E5" s="1">
        <v>9466044040</v>
      </c>
    </row>
    <row r="6" spans="1:5" ht="21" x14ac:dyDescent="0.4">
      <c r="A6" s="54">
        <v>6</v>
      </c>
      <c r="B6" s="54" t="s">
        <v>51</v>
      </c>
      <c r="C6" s="54" t="s">
        <v>67</v>
      </c>
      <c r="D6" s="1"/>
      <c r="E6" s="1">
        <v>9068930358</v>
      </c>
    </row>
    <row r="7" spans="1:5" ht="21" x14ac:dyDescent="0.4">
      <c r="A7" s="54">
        <v>7</v>
      </c>
      <c r="B7" s="54" t="s">
        <v>52</v>
      </c>
      <c r="C7" s="54" t="s">
        <v>68</v>
      </c>
      <c r="D7" s="1"/>
      <c r="E7" s="1">
        <v>9896221907</v>
      </c>
    </row>
    <row r="8" spans="1:5" ht="21" x14ac:dyDescent="0.4">
      <c r="A8" s="54">
        <v>8</v>
      </c>
      <c r="B8" s="54" t="s">
        <v>53</v>
      </c>
      <c r="C8" s="54" t="s">
        <v>69</v>
      </c>
      <c r="D8" s="1"/>
      <c r="E8" s="1">
        <v>9416461565</v>
      </c>
    </row>
    <row r="9" spans="1:5" ht="21" x14ac:dyDescent="0.4">
      <c r="A9" s="54">
        <v>9</v>
      </c>
      <c r="B9" s="54" t="s">
        <v>54</v>
      </c>
      <c r="C9" s="54" t="s">
        <v>70</v>
      </c>
      <c r="D9" s="1"/>
      <c r="E9" s="1">
        <v>8818000917</v>
      </c>
    </row>
    <row r="10" spans="1:5" ht="21" x14ac:dyDescent="0.4">
      <c r="A10" s="54">
        <v>10</v>
      </c>
      <c r="B10" s="54" t="s">
        <v>21</v>
      </c>
      <c r="C10" s="54" t="s">
        <v>71</v>
      </c>
      <c r="D10" s="1"/>
      <c r="E10" s="1">
        <v>7015384723</v>
      </c>
    </row>
    <row r="11" spans="1:5" ht="21" x14ac:dyDescent="0.4">
      <c r="A11" s="54">
        <v>11</v>
      </c>
      <c r="B11" s="54" t="s">
        <v>55</v>
      </c>
      <c r="C11" s="54" t="s">
        <v>81</v>
      </c>
      <c r="D11" s="1"/>
      <c r="E11" s="1">
        <v>9557874441</v>
      </c>
    </row>
    <row r="12" spans="1:5" ht="21" x14ac:dyDescent="0.4">
      <c r="A12" s="54">
        <v>12</v>
      </c>
      <c r="B12" s="54" t="s">
        <v>56</v>
      </c>
      <c r="C12" s="54" t="s">
        <v>72</v>
      </c>
      <c r="D12" s="1"/>
      <c r="E12" s="1">
        <v>9896216368</v>
      </c>
    </row>
    <row r="13" spans="1:5" ht="21" x14ac:dyDescent="0.4">
      <c r="A13" s="54">
        <v>13</v>
      </c>
      <c r="B13" s="54" t="s">
        <v>157</v>
      </c>
      <c r="C13" s="54" t="s">
        <v>73</v>
      </c>
      <c r="D13" s="1"/>
      <c r="E13" s="1">
        <v>9802831031</v>
      </c>
    </row>
    <row r="14" spans="1:5" ht="21" x14ac:dyDescent="0.4">
      <c r="A14" s="54">
        <v>14</v>
      </c>
      <c r="B14" s="54" t="s">
        <v>57</v>
      </c>
      <c r="C14" s="54" t="s">
        <v>67</v>
      </c>
      <c r="D14" s="1"/>
      <c r="E14" s="1">
        <v>8395900014</v>
      </c>
    </row>
    <row r="15" spans="1:5" ht="21" x14ac:dyDescent="0.4">
      <c r="A15" s="54">
        <v>15</v>
      </c>
      <c r="B15" s="54" t="s">
        <v>58</v>
      </c>
      <c r="C15" s="54" t="s">
        <v>41</v>
      </c>
      <c r="D15" s="1"/>
      <c r="E15" s="1">
        <v>7206555130</v>
      </c>
    </row>
    <row r="16" spans="1:5" ht="21" x14ac:dyDescent="0.4">
      <c r="A16" s="54">
        <v>16</v>
      </c>
      <c r="B16" s="54" t="s">
        <v>59</v>
      </c>
      <c r="C16" s="54" t="s">
        <v>74</v>
      </c>
      <c r="D16" s="1"/>
      <c r="E16" s="1">
        <v>9996784643</v>
      </c>
    </row>
    <row r="17" spans="1:5" ht="21" x14ac:dyDescent="0.4">
      <c r="A17" s="54">
        <v>17</v>
      </c>
      <c r="B17" s="54" t="s">
        <v>13</v>
      </c>
      <c r="C17" s="54" t="s">
        <v>75</v>
      </c>
      <c r="D17" s="1"/>
      <c r="E17" s="1">
        <v>9816472251</v>
      </c>
    </row>
    <row r="18" spans="1:5" ht="21" x14ac:dyDescent="0.4">
      <c r="A18" s="54">
        <v>18</v>
      </c>
      <c r="B18" s="54" t="s">
        <v>60</v>
      </c>
      <c r="C18" s="54" t="s">
        <v>76</v>
      </c>
      <c r="D18" s="1"/>
      <c r="E18" s="1">
        <v>9625164024</v>
      </c>
    </row>
    <row r="19" spans="1:5" ht="21" x14ac:dyDescent="0.4">
      <c r="A19" s="54">
        <v>19</v>
      </c>
      <c r="B19" s="54" t="s">
        <v>9</v>
      </c>
      <c r="C19" s="54" t="s">
        <v>10</v>
      </c>
      <c r="D19" s="1"/>
      <c r="E19" s="1">
        <v>9813173665</v>
      </c>
    </row>
    <row r="20" spans="1:5" ht="21" x14ac:dyDescent="0.4">
      <c r="A20" s="54">
        <v>20</v>
      </c>
      <c r="B20" s="54" t="s">
        <v>11</v>
      </c>
      <c r="C20" s="54" t="s">
        <v>12</v>
      </c>
      <c r="D20" s="1"/>
      <c r="E20" s="1">
        <v>9996999859</v>
      </c>
    </row>
    <row r="21" spans="1:5" ht="21" x14ac:dyDescent="0.4">
      <c r="A21" s="54">
        <v>21</v>
      </c>
      <c r="B21" s="54" t="s">
        <v>13</v>
      </c>
      <c r="C21" s="54" t="s">
        <v>14</v>
      </c>
      <c r="D21" s="1"/>
      <c r="E21" s="1"/>
    </row>
    <row r="22" spans="1:5" ht="21" x14ac:dyDescent="0.4">
      <c r="A22" s="54">
        <v>22</v>
      </c>
      <c r="B22" s="54" t="s">
        <v>15</v>
      </c>
      <c r="C22" s="54" t="s">
        <v>16</v>
      </c>
      <c r="D22" s="1"/>
      <c r="E22" s="1">
        <v>7988367102</v>
      </c>
    </row>
    <row r="23" spans="1:5" ht="21" x14ac:dyDescent="0.4">
      <c r="A23" s="54">
        <v>23</v>
      </c>
      <c r="B23" s="54" t="s">
        <v>17</v>
      </c>
      <c r="C23" s="54" t="s">
        <v>18</v>
      </c>
      <c r="D23" s="1"/>
      <c r="E23" s="1"/>
    </row>
    <row r="24" spans="1:5" ht="21" x14ac:dyDescent="0.4">
      <c r="A24" s="54">
        <v>24</v>
      </c>
      <c r="B24" s="54" t="s">
        <v>19</v>
      </c>
      <c r="C24" s="54" t="s">
        <v>20</v>
      </c>
      <c r="D24" s="1"/>
      <c r="E24" s="1"/>
    </row>
    <row r="25" spans="1:5" ht="21" x14ac:dyDescent="0.4">
      <c r="A25" s="54">
        <v>25</v>
      </c>
      <c r="B25" s="54" t="s">
        <v>21</v>
      </c>
      <c r="C25" s="54" t="s">
        <v>77</v>
      </c>
      <c r="D25" s="1"/>
      <c r="E25" s="1"/>
    </row>
    <row r="26" spans="1:5" ht="21" x14ac:dyDescent="0.4">
      <c r="A26" s="54">
        <v>26</v>
      </c>
      <c r="B26" s="54" t="s">
        <v>22</v>
      </c>
      <c r="C26" s="54" t="s">
        <v>68</v>
      </c>
      <c r="D26" s="1"/>
      <c r="E26" s="1">
        <v>9466237111</v>
      </c>
    </row>
    <row r="27" spans="1:5" ht="21" x14ac:dyDescent="0.4">
      <c r="A27" s="54">
        <v>27</v>
      </c>
      <c r="B27" s="54" t="s">
        <v>23</v>
      </c>
      <c r="C27" s="54" t="s">
        <v>24</v>
      </c>
      <c r="D27" s="1"/>
      <c r="E27">
        <v>9991379912</v>
      </c>
    </row>
    <row r="28" spans="1:5" ht="21" x14ac:dyDescent="0.4">
      <c r="A28" s="54">
        <v>28</v>
      </c>
      <c r="B28" s="54" t="s">
        <v>25</v>
      </c>
      <c r="C28" s="54" t="s">
        <v>26</v>
      </c>
      <c r="D28" s="1"/>
    </row>
    <row r="29" spans="1:5" ht="21" x14ac:dyDescent="0.4">
      <c r="A29" s="54">
        <v>29</v>
      </c>
      <c r="B29" s="54" t="s">
        <v>27</v>
      </c>
      <c r="C29" s="54" t="s">
        <v>28</v>
      </c>
      <c r="D29" s="1"/>
    </row>
    <row r="30" spans="1:5" ht="21" x14ac:dyDescent="0.4">
      <c r="A30" s="54">
        <v>30</v>
      </c>
      <c r="B30" s="54" t="s">
        <v>29</v>
      </c>
      <c r="C30" s="54" t="s">
        <v>30</v>
      </c>
      <c r="D30" s="1"/>
    </row>
    <row r="31" spans="1:5" ht="21" x14ac:dyDescent="0.4">
      <c r="A31" s="54">
        <v>31</v>
      </c>
      <c r="B31" s="54" t="s">
        <v>61</v>
      </c>
      <c r="C31" s="54" t="s">
        <v>80</v>
      </c>
      <c r="D31" s="1"/>
    </row>
    <row r="32" spans="1:5" ht="21" x14ac:dyDescent="0.4">
      <c r="A32" s="54">
        <v>32</v>
      </c>
      <c r="B32" s="54" t="s">
        <v>62</v>
      </c>
      <c r="C32" s="54" t="s">
        <v>78</v>
      </c>
      <c r="D32" s="1"/>
    </row>
    <row r="33" spans="1:4" ht="21" x14ac:dyDescent="0.4">
      <c r="A33" s="54">
        <v>33</v>
      </c>
      <c r="B33" s="54" t="s">
        <v>31</v>
      </c>
      <c r="C33" s="54" t="s">
        <v>79</v>
      </c>
      <c r="D33" s="1"/>
    </row>
    <row r="34" spans="1:4" ht="21" x14ac:dyDescent="0.4">
      <c r="A34" s="54">
        <v>34</v>
      </c>
      <c r="B34" s="54" t="s">
        <v>32</v>
      </c>
      <c r="C34" s="54" t="s">
        <v>33</v>
      </c>
      <c r="D34" s="1"/>
    </row>
    <row r="35" spans="1:4" ht="21" x14ac:dyDescent="0.4">
      <c r="A35" s="54">
        <v>35</v>
      </c>
      <c r="B35" s="54" t="s">
        <v>35</v>
      </c>
      <c r="C35" s="54" t="s">
        <v>36</v>
      </c>
      <c r="D35" s="1"/>
    </row>
    <row r="36" spans="1:4" ht="21" x14ac:dyDescent="0.4">
      <c r="A36" s="54">
        <v>36</v>
      </c>
      <c r="B36" s="54" t="s">
        <v>37</v>
      </c>
      <c r="C36" s="54" t="s">
        <v>38</v>
      </c>
      <c r="D36" s="1"/>
    </row>
    <row r="37" spans="1:4" ht="18" x14ac:dyDescent="0.35">
      <c r="A37" s="54">
        <v>37</v>
      </c>
      <c r="B37" s="54" t="s">
        <v>158</v>
      </c>
      <c r="C37" s="54" t="s">
        <v>161</v>
      </c>
    </row>
    <row r="38" spans="1:4" ht="18" x14ac:dyDescent="0.35">
      <c r="A38" s="54">
        <v>38</v>
      </c>
      <c r="B38" s="54" t="s">
        <v>162</v>
      </c>
      <c r="C38" s="54" t="s">
        <v>163</v>
      </c>
    </row>
    <row r="39" spans="1:4" ht="18" x14ac:dyDescent="0.35">
      <c r="A39" s="54">
        <v>39</v>
      </c>
      <c r="B39" s="54" t="s">
        <v>166</v>
      </c>
      <c r="C39" s="54" t="s">
        <v>167</v>
      </c>
    </row>
    <row r="40" spans="1:4" ht="18" x14ac:dyDescent="0.35">
      <c r="A40" s="54">
        <v>40</v>
      </c>
      <c r="B40" s="54" t="s">
        <v>181</v>
      </c>
      <c r="C40" s="54" t="s">
        <v>182</v>
      </c>
    </row>
    <row r="41" spans="1:4" ht="18" x14ac:dyDescent="0.35">
      <c r="A41" s="54">
        <v>41</v>
      </c>
      <c r="B41" s="54" t="s">
        <v>185</v>
      </c>
      <c r="C41" s="54" t="s">
        <v>187</v>
      </c>
    </row>
    <row r="42" spans="1:4" ht="18" x14ac:dyDescent="0.35">
      <c r="A42" s="54">
        <f>'Guru Kirpa Customer Form'!A2</f>
        <v>0</v>
      </c>
      <c r="B42" s="54">
        <f>'Guru Kirpa Customer Form'!B2</f>
        <v>0</v>
      </c>
      <c r="C42" s="54">
        <f>IFERROR('Guru Kirpa Customer Form'!D2," ")</f>
        <v>0</v>
      </c>
    </row>
    <row r="43" spans="1:4" ht="18" x14ac:dyDescent="0.35">
      <c r="A43" s="54">
        <f>'Guru Kirpa Customer Form'!A3</f>
        <v>0</v>
      </c>
      <c r="B43" s="54">
        <f>'Guru Kirpa Customer Form'!B3</f>
        <v>0</v>
      </c>
      <c r="C43" s="54">
        <f>IFERROR('Guru Kirpa Customer Form'!D3," ")</f>
        <v>0</v>
      </c>
    </row>
    <row r="44" spans="1:4" ht="18" x14ac:dyDescent="0.35">
      <c r="A44" s="54">
        <f>'Guru Kirpa Customer Form'!A4</f>
        <v>0</v>
      </c>
      <c r="B44" s="54">
        <f>'Guru Kirpa Customer Form'!B4</f>
        <v>0</v>
      </c>
      <c r="C44" s="54">
        <f>IFERROR('Guru Kirpa Customer Form'!D4," ")</f>
        <v>0</v>
      </c>
    </row>
    <row r="45" spans="1:4" ht="18" x14ac:dyDescent="0.35">
      <c r="A45" s="54">
        <f>'Guru Kirpa Customer Form'!A5</f>
        <v>0</v>
      </c>
      <c r="B45" s="54">
        <f>'Guru Kirpa Customer Form'!B5</f>
        <v>0</v>
      </c>
      <c r="C45" s="54">
        <f>IFERROR('Guru Kirpa Customer Form'!D5," ")</f>
        <v>0</v>
      </c>
    </row>
    <row r="46" spans="1:4" ht="18" x14ac:dyDescent="0.35">
      <c r="A46" s="54">
        <f>'Guru Kirpa Customer Form'!A6</f>
        <v>0</v>
      </c>
      <c r="B46" s="54">
        <f>'Guru Kirpa Customer Form'!B6</f>
        <v>0</v>
      </c>
      <c r="C46" s="54">
        <f>'Guru Kirpa Customer Form'!D6</f>
        <v>0</v>
      </c>
    </row>
    <row r="47" spans="1:4" ht="18" x14ac:dyDescent="0.35">
      <c r="A47" s="54">
        <f>'Guru Kirpa Customer Form'!A7</f>
        <v>0</v>
      </c>
      <c r="B47" s="54">
        <f>'Guru Kirpa Customer Form'!B7</f>
        <v>0</v>
      </c>
      <c r="C47" s="54">
        <f>'Guru Kirpa Customer Form'!D7</f>
        <v>0</v>
      </c>
    </row>
    <row r="48" spans="1:4" ht="18" x14ac:dyDescent="0.35">
      <c r="A48" s="54">
        <f>'Guru Kirpa Customer Form'!A8</f>
        <v>0</v>
      </c>
      <c r="B48" s="54">
        <f>'Guru Kirpa Customer Form'!B8</f>
        <v>0</v>
      </c>
      <c r="C48" s="54">
        <f>'Guru Kirpa Customer Form'!D8</f>
        <v>0</v>
      </c>
    </row>
    <row r="49" spans="1:3" ht="18" x14ac:dyDescent="0.35">
      <c r="A49" s="54">
        <f>'Guru Kirpa Customer Form'!A9</f>
        <v>0</v>
      </c>
      <c r="B49" s="54">
        <f>'Guru Kirpa Customer Form'!B9</f>
        <v>0</v>
      </c>
      <c r="C49" s="54">
        <f>'Guru Kirpa Customer Form'!D9</f>
        <v>0</v>
      </c>
    </row>
    <row r="50" spans="1:3" ht="18" x14ac:dyDescent="0.35">
      <c r="A50" s="54">
        <f>'Guru Kirpa Customer Form'!A10</f>
        <v>0</v>
      </c>
      <c r="B50" s="54">
        <f>'Guru Kirpa Customer Form'!B10</f>
        <v>0</v>
      </c>
      <c r="C50" s="54">
        <f>'Guru Kirpa Customer Form'!D10</f>
        <v>0</v>
      </c>
    </row>
    <row r="51" spans="1:3" ht="18" x14ac:dyDescent="0.35">
      <c r="A51" s="54">
        <f>'Guru Kirpa Customer Form'!A11</f>
        <v>0</v>
      </c>
      <c r="B51" s="54">
        <f>'Guru Kirpa Customer Form'!B11</f>
        <v>0</v>
      </c>
      <c r="C51" s="54">
        <f>'Guru Kirpa Customer Form'!D11</f>
        <v>0</v>
      </c>
    </row>
    <row r="52" spans="1:3" ht="18" x14ac:dyDescent="0.35">
      <c r="A52" s="54">
        <f>'Guru Kirpa Customer Form'!A12</f>
        <v>0</v>
      </c>
      <c r="B52" s="54">
        <f>'Guru Kirpa Customer Form'!B12</f>
        <v>0</v>
      </c>
      <c r="C52" s="54">
        <f>'Guru Kirpa Customer Form'!D12</f>
        <v>0</v>
      </c>
    </row>
    <row r="53" spans="1:3" ht="18" x14ac:dyDescent="0.35">
      <c r="A53" s="54">
        <f>'Guru Kirpa Customer Form'!A13</f>
        <v>0</v>
      </c>
      <c r="B53" s="54">
        <f>'Guru Kirpa Customer Form'!B13</f>
        <v>0</v>
      </c>
      <c r="C53" s="54">
        <f>'Guru Kirpa Customer Form'!D13</f>
        <v>0</v>
      </c>
    </row>
    <row r="54" spans="1:3" ht="18" x14ac:dyDescent="0.35">
      <c r="A54" s="54">
        <f>'Guru Kirpa Customer Form'!A14</f>
        <v>0</v>
      </c>
      <c r="B54" s="54">
        <f>'Guru Kirpa Customer Form'!B14</f>
        <v>0</v>
      </c>
      <c r="C54" s="54">
        <f>'Guru Kirpa Customer Form'!D14</f>
        <v>0</v>
      </c>
    </row>
    <row r="55" spans="1:3" ht="18" x14ac:dyDescent="0.35">
      <c r="A55" s="54">
        <f>'Guru Kirpa Customer Form'!A15</f>
        <v>0</v>
      </c>
      <c r="B55" s="54">
        <f>'Guru Kirpa Customer Form'!B15</f>
        <v>0</v>
      </c>
      <c r="C55" s="54">
        <f>'Guru Kirpa Customer Form'!D15</f>
        <v>0</v>
      </c>
    </row>
    <row r="56" spans="1:3" ht="18" x14ac:dyDescent="0.35">
      <c r="A56" s="54">
        <f>'Guru Kirpa Customer Form'!A16</f>
        <v>0</v>
      </c>
      <c r="B56" s="54">
        <f>'Guru Kirpa Customer Form'!B16</f>
        <v>0</v>
      </c>
      <c r="C56" s="54">
        <f>'Guru Kirpa Customer Form'!D16</f>
        <v>0</v>
      </c>
    </row>
    <row r="57" spans="1:3" ht="18" x14ac:dyDescent="0.35">
      <c r="A57" s="54">
        <f>'Guru Kirpa Customer Form'!A17</f>
        <v>0</v>
      </c>
      <c r="B57" s="54">
        <f>'Guru Kirpa Customer Form'!B17</f>
        <v>0</v>
      </c>
      <c r="C57" s="54">
        <f>'Guru Kirpa Customer Form'!D17</f>
        <v>0</v>
      </c>
    </row>
    <row r="58" spans="1:3" ht="18" x14ac:dyDescent="0.35">
      <c r="A58" s="54">
        <f>'Guru Kirpa Customer Form'!A18</f>
        <v>0</v>
      </c>
      <c r="B58" s="54">
        <f>'Guru Kirpa Customer Form'!B18</f>
        <v>0</v>
      </c>
      <c r="C58" s="54">
        <f>'Guru Kirpa Customer Form'!D18</f>
        <v>0</v>
      </c>
    </row>
    <row r="59" spans="1:3" ht="18" x14ac:dyDescent="0.35">
      <c r="A59" s="54">
        <f>'Guru Kirpa Customer Form'!A19</f>
        <v>0</v>
      </c>
      <c r="B59" s="54">
        <f>'Guru Kirpa Customer Form'!B19</f>
        <v>0</v>
      </c>
      <c r="C59" s="54">
        <f>'Guru Kirpa Customer Form'!D19</f>
        <v>0</v>
      </c>
    </row>
    <row r="60" spans="1:3" ht="18" x14ac:dyDescent="0.35">
      <c r="A60" s="54">
        <f>'Guru Kirpa Customer Form'!A20</f>
        <v>0</v>
      </c>
      <c r="B60" s="54">
        <f>'Guru Kirpa Customer Form'!B20</f>
        <v>0</v>
      </c>
      <c r="C60" s="54">
        <f>'Guru Kirpa Customer Form'!D20</f>
        <v>0</v>
      </c>
    </row>
    <row r="61" spans="1:3" ht="18" x14ac:dyDescent="0.35">
      <c r="A61" s="54">
        <f>'Guru Kirpa Customer Form'!A21</f>
        <v>0</v>
      </c>
      <c r="B61" s="54">
        <f>'Guru Kirpa Customer Form'!B21</f>
        <v>0</v>
      </c>
      <c r="C61" s="54">
        <f>'Guru Kirpa Customer Form'!D21</f>
        <v>0</v>
      </c>
    </row>
    <row r="62" spans="1:3" ht="18" x14ac:dyDescent="0.35">
      <c r="A62" s="54">
        <f>'Guru Kirpa Customer Form'!A22</f>
        <v>0</v>
      </c>
      <c r="B62" s="54">
        <f>'Guru Kirpa Customer Form'!B22</f>
        <v>0</v>
      </c>
      <c r="C62" s="54">
        <f>'Guru Kirpa Customer Form'!D22</f>
        <v>0</v>
      </c>
    </row>
    <row r="63" spans="1:3" ht="18" x14ac:dyDescent="0.35">
      <c r="A63" s="54">
        <f>'Guru Kirpa Customer Form'!A23</f>
        <v>0</v>
      </c>
      <c r="B63" s="54">
        <f>'Guru Kirpa Customer Form'!B23</f>
        <v>0</v>
      </c>
      <c r="C63" s="54">
        <f>'Guru Kirpa Customer Form'!D23</f>
        <v>0</v>
      </c>
    </row>
    <row r="64" spans="1:3" ht="18" x14ac:dyDescent="0.35">
      <c r="A64" s="54">
        <f>'Guru Kirpa Customer Form'!A24</f>
        <v>0</v>
      </c>
      <c r="B64" s="54">
        <f>'Guru Kirpa Customer Form'!B24</f>
        <v>0</v>
      </c>
      <c r="C64" s="54">
        <f>'Guru Kirpa Customer Form'!D24</f>
        <v>0</v>
      </c>
    </row>
    <row r="65" spans="1:3" ht="18" x14ac:dyDescent="0.35">
      <c r="A65" s="54">
        <f>'Guru Kirpa Customer Form'!A25</f>
        <v>0</v>
      </c>
      <c r="B65" s="54">
        <f>'Guru Kirpa Customer Form'!B25</f>
        <v>0</v>
      </c>
      <c r="C65" s="54">
        <f>'Guru Kirpa Customer Form'!D25</f>
        <v>0</v>
      </c>
    </row>
    <row r="66" spans="1:3" ht="18" x14ac:dyDescent="0.35">
      <c r="A66" s="54">
        <f>'Guru Kirpa Customer Form'!A26</f>
        <v>0</v>
      </c>
      <c r="B66" s="54">
        <f>'Guru Kirpa Customer Form'!B26</f>
        <v>0</v>
      </c>
      <c r="C66" s="54">
        <f>'Guru Kirpa Customer Form'!D26</f>
        <v>0</v>
      </c>
    </row>
    <row r="67" spans="1:3" ht="18" x14ac:dyDescent="0.35">
      <c r="A67" s="54">
        <f>'Guru Kirpa Customer Form'!A27</f>
        <v>0</v>
      </c>
      <c r="B67" s="54">
        <f>'Guru Kirpa Customer Form'!B27</f>
        <v>0</v>
      </c>
      <c r="C67" s="54">
        <f>'Guru Kirpa Customer Form'!D27</f>
        <v>0</v>
      </c>
    </row>
    <row r="68" spans="1:3" ht="18" x14ac:dyDescent="0.35">
      <c r="A68" s="54">
        <f>'Guru Kirpa Customer Form'!A28</f>
        <v>0</v>
      </c>
      <c r="B68" s="54">
        <f>'Guru Kirpa Customer Form'!B28</f>
        <v>0</v>
      </c>
      <c r="C68" s="54">
        <f>'Guru Kirpa Customer Form'!D28</f>
        <v>0</v>
      </c>
    </row>
    <row r="69" spans="1:3" ht="18" x14ac:dyDescent="0.35">
      <c r="A69" s="54">
        <f>'Guru Kirpa Customer Form'!A29</f>
        <v>0</v>
      </c>
      <c r="B69" s="54">
        <f>'Guru Kirpa Customer Form'!B29</f>
        <v>0</v>
      </c>
      <c r="C69" s="54">
        <f>'Guru Kirpa Customer Form'!D29</f>
        <v>0</v>
      </c>
    </row>
    <row r="70" spans="1:3" ht="18" x14ac:dyDescent="0.35">
      <c r="A70" s="54">
        <f>'Guru Kirpa Customer Form'!A30</f>
        <v>0</v>
      </c>
      <c r="B70" s="54">
        <f>'Guru Kirpa Customer Form'!B30</f>
        <v>0</v>
      </c>
      <c r="C70" s="54">
        <f>'Guru Kirpa Customer Form'!D30</f>
        <v>0</v>
      </c>
    </row>
    <row r="71" spans="1:3" ht="18" x14ac:dyDescent="0.35">
      <c r="A71" s="54">
        <f>'Guru Kirpa Customer Form'!A31</f>
        <v>0</v>
      </c>
      <c r="B71" s="54">
        <f>'Guru Kirpa Customer Form'!B31</f>
        <v>0</v>
      </c>
      <c r="C71" s="54">
        <f>'Guru Kirpa Customer Form'!D31</f>
        <v>0</v>
      </c>
    </row>
    <row r="72" spans="1:3" ht="18" x14ac:dyDescent="0.35">
      <c r="A72" s="54">
        <f>'Guru Kirpa Customer Form'!A32</f>
        <v>0</v>
      </c>
      <c r="B72" s="54">
        <f>'Guru Kirpa Customer Form'!B32</f>
        <v>0</v>
      </c>
      <c r="C72" s="54">
        <f>'Guru Kirpa Customer Form'!D32</f>
        <v>0</v>
      </c>
    </row>
    <row r="73" spans="1:3" ht="18" x14ac:dyDescent="0.35">
      <c r="A73" s="54">
        <f>'Guru Kirpa Customer Form'!A33</f>
        <v>0</v>
      </c>
      <c r="B73" s="54">
        <f>'Guru Kirpa Customer Form'!B33</f>
        <v>0</v>
      </c>
      <c r="C73" s="54">
        <f>'Guru Kirpa Customer Form'!D33</f>
        <v>0</v>
      </c>
    </row>
    <row r="74" spans="1:3" ht="18" x14ac:dyDescent="0.35">
      <c r="A74" s="54">
        <f>'Guru Kirpa Customer Form'!A34</f>
        <v>0</v>
      </c>
      <c r="B74" s="54">
        <f>'Guru Kirpa Customer Form'!B34</f>
        <v>0</v>
      </c>
      <c r="C74" s="54">
        <f>'Guru Kirpa Customer Form'!D34</f>
        <v>0</v>
      </c>
    </row>
    <row r="75" spans="1:3" ht="18" x14ac:dyDescent="0.35">
      <c r="A75" s="54">
        <f>'Guru Kirpa Customer Form'!A35</f>
        <v>0</v>
      </c>
      <c r="B75" s="54">
        <f>'Guru Kirpa Customer Form'!B35</f>
        <v>0</v>
      </c>
      <c r="C75" s="54">
        <f>'Guru Kirpa Customer Form'!D35</f>
        <v>0</v>
      </c>
    </row>
    <row r="76" spans="1:3" ht="18" x14ac:dyDescent="0.35">
      <c r="A76" s="54">
        <f>'Guru Kirpa Customer Form'!A36</f>
        <v>0</v>
      </c>
      <c r="B76" s="54">
        <f>'Guru Kirpa Customer Form'!B36</f>
        <v>0</v>
      </c>
      <c r="C76" s="54">
        <f>'Guru Kirpa Customer Form'!D36</f>
        <v>0</v>
      </c>
    </row>
    <row r="77" spans="1:3" ht="18" x14ac:dyDescent="0.35">
      <c r="A77" s="54">
        <f>'Guru Kirpa Customer Form'!A37</f>
        <v>0</v>
      </c>
      <c r="B77" s="54">
        <f>'Guru Kirpa Customer Form'!B37</f>
        <v>0</v>
      </c>
      <c r="C77" s="54">
        <f>'Guru Kirpa Customer Form'!D37</f>
        <v>0</v>
      </c>
    </row>
    <row r="78" spans="1:3" ht="18" x14ac:dyDescent="0.35">
      <c r="A78" s="54">
        <f>'Guru Kirpa Customer Form'!A38</f>
        <v>0</v>
      </c>
      <c r="B78" s="54">
        <f>'Guru Kirpa Customer Form'!B38</f>
        <v>0</v>
      </c>
      <c r="C78" s="54">
        <f>'Guru Kirpa Customer Form'!D38</f>
        <v>0</v>
      </c>
    </row>
    <row r="79" spans="1:3" ht="18" x14ac:dyDescent="0.35">
      <c r="A79" s="54">
        <f>'Guru Kirpa Customer Form'!A39</f>
        <v>0</v>
      </c>
      <c r="B79" s="54">
        <f>'Guru Kirpa Customer Form'!B39</f>
        <v>0</v>
      </c>
      <c r="C79" s="54">
        <f>'Guru Kirpa Customer Form'!D39</f>
        <v>0</v>
      </c>
    </row>
    <row r="80" spans="1:3" ht="18" x14ac:dyDescent="0.35">
      <c r="A80" s="54">
        <f>'Guru Kirpa Customer Form'!A40</f>
        <v>0</v>
      </c>
      <c r="B80" s="54">
        <f>'Guru Kirpa Customer Form'!B40</f>
        <v>0</v>
      </c>
      <c r="C80" s="54">
        <f>'Guru Kirpa Customer Form'!D40</f>
        <v>0</v>
      </c>
    </row>
    <row r="81" spans="1:3" ht="18" x14ac:dyDescent="0.35">
      <c r="A81" s="54">
        <f>'Guru Kirpa Customer Form'!A41</f>
        <v>0</v>
      </c>
      <c r="B81" s="54">
        <f>'Guru Kirpa Customer Form'!B41</f>
        <v>0</v>
      </c>
      <c r="C81" s="54">
        <f>'Guru Kirpa Customer Form'!D41</f>
        <v>0</v>
      </c>
    </row>
    <row r="82" spans="1:3" ht="18" x14ac:dyDescent="0.35">
      <c r="A82" s="54">
        <f>'Guru Kirpa Customer Form'!A42</f>
        <v>0</v>
      </c>
      <c r="B82" s="54">
        <f>'Guru Kirpa Customer Form'!B42</f>
        <v>0</v>
      </c>
      <c r="C82" s="54">
        <f>'Guru Kirpa Customer Form'!D42</f>
        <v>0</v>
      </c>
    </row>
    <row r="83" spans="1:3" ht="18" x14ac:dyDescent="0.35">
      <c r="A83" s="54">
        <f>'Guru Kirpa Customer Form'!A43</f>
        <v>0</v>
      </c>
      <c r="B83" s="54">
        <f>'Guru Kirpa Customer Form'!B43</f>
        <v>0</v>
      </c>
      <c r="C83" s="54">
        <f>'Guru Kirpa Customer Form'!D43</f>
        <v>0</v>
      </c>
    </row>
    <row r="84" spans="1:3" ht="18" x14ac:dyDescent="0.35">
      <c r="A84" s="54">
        <f>'Guru Kirpa Customer Form'!A44</f>
        <v>0</v>
      </c>
      <c r="B84" s="54">
        <f>'Guru Kirpa Customer Form'!B44</f>
        <v>0</v>
      </c>
      <c r="C84" s="54">
        <f>'Guru Kirpa Customer Form'!D44</f>
        <v>0</v>
      </c>
    </row>
    <row r="85" spans="1:3" ht="18" x14ac:dyDescent="0.35">
      <c r="A85" s="54">
        <f>'Guru Kirpa Customer Form'!A45</f>
        <v>0</v>
      </c>
      <c r="B85" s="54">
        <f>'Guru Kirpa Customer Form'!B45</f>
        <v>0</v>
      </c>
      <c r="C85" s="54">
        <f>'Guru Kirpa Customer Form'!D45</f>
        <v>0</v>
      </c>
    </row>
    <row r="86" spans="1:3" ht="18" x14ac:dyDescent="0.35">
      <c r="A86" s="54">
        <f>'Guru Kirpa Customer Form'!A46</f>
        <v>0</v>
      </c>
      <c r="B86" s="54">
        <f>'Guru Kirpa Customer Form'!B46</f>
        <v>0</v>
      </c>
      <c r="C86" s="54">
        <f>'Guru Kirpa Customer Form'!D46</f>
        <v>0</v>
      </c>
    </row>
    <row r="87" spans="1:3" ht="18" x14ac:dyDescent="0.35">
      <c r="A87" s="54">
        <f>'Guru Kirpa Customer Form'!A47</f>
        <v>0</v>
      </c>
      <c r="B87" s="54">
        <f>'Guru Kirpa Customer Form'!B47</f>
        <v>0</v>
      </c>
      <c r="C87" s="54">
        <f>'Guru Kirpa Customer Form'!D47</f>
        <v>0</v>
      </c>
    </row>
    <row r="88" spans="1:3" ht="18" x14ac:dyDescent="0.35">
      <c r="A88" s="54">
        <f>'Guru Kirpa Customer Form'!A48</f>
        <v>0</v>
      </c>
      <c r="B88" s="54">
        <f>'Guru Kirpa Customer Form'!B48</f>
        <v>0</v>
      </c>
      <c r="C88" s="54">
        <f>'Guru Kirpa Customer Form'!D48</f>
        <v>0</v>
      </c>
    </row>
    <row r="89" spans="1:3" ht="18" x14ac:dyDescent="0.35">
      <c r="A89" s="54">
        <f>'Guru Kirpa Customer Form'!A49</f>
        <v>0</v>
      </c>
      <c r="B89" s="54">
        <f>'Guru Kirpa Customer Form'!B49</f>
        <v>0</v>
      </c>
      <c r="C89" s="54">
        <f>'Guru Kirpa Customer Form'!D49</f>
        <v>0</v>
      </c>
    </row>
    <row r="90" spans="1:3" ht="18" x14ac:dyDescent="0.35">
      <c r="A90" s="54">
        <f>'Guru Kirpa Customer Form'!A50</f>
        <v>0</v>
      </c>
      <c r="B90" s="54">
        <f>'Guru Kirpa Customer Form'!B50</f>
        <v>0</v>
      </c>
      <c r="C90" s="54">
        <f>'Guru Kirpa Customer Form'!D50</f>
        <v>0</v>
      </c>
    </row>
    <row r="91" spans="1:3" ht="18" x14ac:dyDescent="0.35">
      <c r="A91" s="54">
        <f>'Guru Kirpa Customer Form'!A51</f>
        <v>0</v>
      </c>
      <c r="B91" s="54">
        <f>'Guru Kirpa Customer Form'!B51</f>
        <v>0</v>
      </c>
      <c r="C91" s="54">
        <f>'Guru Kirpa Customer Form'!D51</f>
        <v>0</v>
      </c>
    </row>
    <row r="92" spans="1:3" ht="18" x14ac:dyDescent="0.35">
      <c r="A92" s="54">
        <f>'Guru Kirpa Customer Form'!A52</f>
        <v>0</v>
      </c>
      <c r="B92" s="54">
        <f>'Guru Kirpa Customer Form'!B52</f>
        <v>0</v>
      </c>
      <c r="C92" s="54">
        <f>'Guru Kirpa Customer Form'!D52</f>
        <v>0</v>
      </c>
    </row>
    <row r="93" spans="1:3" ht="18" x14ac:dyDescent="0.35">
      <c r="A93" s="54">
        <f>'Guru Kirpa Customer Form'!A53</f>
        <v>0</v>
      </c>
      <c r="B93" s="54">
        <f>'Guru Kirpa Customer Form'!B53</f>
        <v>0</v>
      </c>
      <c r="C93" s="54">
        <f>'Guru Kirpa Customer Form'!D53</f>
        <v>0</v>
      </c>
    </row>
    <row r="94" spans="1:3" ht="18" x14ac:dyDescent="0.35">
      <c r="A94" s="54">
        <f>'Guru Kirpa Customer Form'!A54</f>
        <v>0</v>
      </c>
      <c r="B94" s="54">
        <f>'Guru Kirpa Customer Form'!B54</f>
        <v>0</v>
      </c>
      <c r="C94" s="54">
        <f>'Guru Kirpa Customer Form'!D54</f>
        <v>0</v>
      </c>
    </row>
    <row r="95" spans="1:3" ht="18" x14ac:dyDescent="0.35">
      <c r="A95" s="54">
        <f>'Guru Kirpa Customer Form'!A55</f>
        <v>0</v>
      </c>
      <c r="B95" s="54">
        <f>'Guru Kirpa Customer Form'!B55</f>
        <v>0</v>
      </c>
      <c r="C95" s="54">
        <f>'Guru Kirpa Customer Form'!D55</f>
        <v>0</v>
      </c>
    </row>
    <row r="96" spans="1:3" ht="18" x14ac:dyDescent="0.35">
      <c r="A96" s="54">
        <f>'Guru Kirpa Customer Form'!A56</f>
        <v>0</v>
      </c>
      <c r="B96" s="54">
        <f>'Guru Kirpa Customer Form'!B56</f>
        <v>0</v>
      </c>
      <c r="C96" s="54">
        <f>'Guru Kirpa Customer Form'!D56</f>
        <v>0</v>
      </c>
    </row>
    <row r="97" spans="1:3" ht="18" x14ac:dyDescent="0.35">
      <c r="A97" s="54">
        <f>'Guru Kirpa Customer Form'!A57</f>
        <v>0</v>
      </c>
      <c r="B97" s="54">
        <f>'Guru Kirpa Customer Form'!B57</f>
        <v>0</v>
      </c>
      <c r="C97" s="54">
        <f>'Guru Kirpa Customer Form'!D57</f>
        <v>0</v>
      </c>
    </row>
    <row r="98" spans="1:3" ht="18" x14ac:dyDescent="0.35">
      <c r="A98" s="54">
        <f>'Guru Kirpa Customer Form'!A58</f>
        <v>0</v>
      </c>
      <c r="B98" s="54">
        <f>'Guru Kirpa Customer Form'!B58</f>
        <v>0</v>
      </c>
      <c r="C98" s="54">
        <f>'Guru Kirpa Customer Form'!D58</f>
        <v>0</v>
      </c>
    </row>
    <row r="99" spans="1:3" ht="18" x14ac:dyDescent="0.35">
      <c r="A99" s="54">
        <f>'Guru Kirpa Customer Form'!A59</f>
        <v>0</v>
      </c>
      <c r="B99" s="54">
        <f>'Guru Kirpa Customer Form'!B59</f>
        <v>0</v>
      </c>
      <c r="C99" s="54">
        <f>'Guru Kirpa Customer Form'!D59</f>
        <v>0</v>
      </c>
    </row>
    <row r="100" spans="1:3" ht="18" x14ac:dyDescent="0.35">
      <c r="A100" s="54">
        <f>'Guru Kirpa Customer Form'!A60</f>
        <v>0</v>
      </c>
      <c r="B100" s="54">
        <f>'Guru Kirpa Customer Form'!B60</f>
        <v>0</v>
      </c>
      <c r="C100" s="54">
        <f>'Guru Kirpa Customer Form'!D60</f>
        <v>0</v>
      </c>
    </row>
    <row r="101" spans="1:3" ht="18" x14ac:dyDescent="0.35">
      <c r="A101" s="54">
        <f>'Guru Kirpa Customer Form'!A61</f>
        <v>0</v>
      </c>
      <c r="B101" s="54">
        <f>'Guru Kirpa Customer Form'!B61</f>
        <v>0</v>
      </c>
      <c r="C101" s="54">
        <f>'Guru Kirpa Customer Form'!D61</f>
        <v>0</v>
      </c>
    </row>
    <row r="102" spans="1:3" ht="18" x14ac:dyDescent="0.35">
      <c r="A102" s="54">
        <f>'Guru Kirpa Customer Form'!A62</f>
        <v>0</v>
      </c>
      <c r="B102" s="54">
        <f>'Guru Kirpa Customer Form'!B62</f>
        <v>0</v>
      </c>
      <c r="C102" s="54">
        <f>'Guru Kirpa Customer Form'!D62</f>
        <v>0</v>
      </c>
    </row>
    <row r="103" spans="1:3" ht="18" x14ac:dyDescent="0.35">
      <c r="A103" s="54">
        <f>'Guru Kirpa Customer Form'!A63</f>
        <v>0</v>
      </c>
      <c r="B103" s="54">
        <f>'Guru Kirpa Customer Form'!B63</f>
        <v>0</v>
      </c>
      <c r="C103" s="54">
        <f>'Guru Kirpa Customer Form'!D63</f>
        <v>0</v>
      </c>
    </row>
    <row r="104" spans="1:3" ht="18" x14ac:dyDescent="0.35">
      <c r="A104" s="54">
        <f>'Guru Kirpa Customer Form'!A64</f>
        <v>0</v>
      </c>
      <c r="B104" s="54">
        <f>'Guru Kirpa Customer Form'!B64</f>
        <v>0</v>
      </c>
      <c r="C104" s="54">
        <f>'Guru Kirpa Customer Form'!D64</f>
        <v>0</v>
      </c>
    </row>
    <row r="105" spans="1:3" ht="18" x14ac:dyDescent="0.35">
      <c r="A105" s="54">
        <f>'Guru Kirpa Customer Form'!A65</f>
        <v>0</v>
      </c>
      <c r="B105" s="54">
        <f>'Guru Kirpa Customer Form'!B65</f>
        <v>0</v>
      </c>
      <c r="C105" s="54">
        <f>'Guru Kirpa Customer Form'!D65</f>
        <v>0</v>
      </c>
    </row>
    <row r="106" spans="1:3" ht="18" x14ac:dyDescent="0.35">
      <c r="A106" s="54">
        <f>'Guru Kirpa Customer Form'!A66</f>
        <v>0</v>
      </c>
      <c r="B106" s="54">
        <f>'Guru Kirpa Customer Form'!B66</f>
        <v>0</v>
      </c>
      <c r="C106" s="54">
        <f>'Guru Kirpa Customer Form'!D66</f>
        <v>0</v>
      </c>
    </row>
    <row r="107" spans="1:3" ht="18" x14ac:dyDescent="0.35">
      <c r="A107" s="54">
        <f>'Guru Kirpa Customer Form'!A67</f>
        <v>0</v>
      </c>
      <c r="B107" s="54">
        <f>'Guru Kirpa Customer Form'!B67</f>
        <v>0</v>
      </c>
      <c r="C107" s="54">
        <f>'Guru Kirpa Customer Form'!D67</f>
        <v>0</v>
      </c>
    </row>
    <row r="108" spans="1:3" ht="18" x14ac:dyDescent="0.35">
      <c r="A108" s="54">
        <f>'Guru Kirpa Customer Form'!A68</f>
        <v>0</v>
      </c>
      <c r="B108" s="54">
        <f>'Guru Kirpa Customer Form'!B68</f>
        <v>0</v>
      </c>
      <c r="C108" s="54">
        <f>'Guru Kirpa Customer Form'!D68</f>
        <v>0</v>
      </c>
    </row>
    <row r="109" spans="1:3" ht="18" x14ac:dyDescent="0.35">
      <c r="A109" s="54">
        <f>'Guru Kirpa Customer Form'!A69</f>
        <v>0</v>
      </c>
      <c r="B109" s="54">
        <f>'Guru Kirpa Customer Form'!B69</f>
        <v>0</v>
      </c>
      <c r="C109" s="54">
        <f>'Guru Kirpa Customer Form'!D69</f>
        <v>0</v>
      </c>
    </row>
    <row r="110" spans="1:3" ht="18" x14ac:dyDescent="0.35">
      <c r="A110" s="54">
        <f>'Guru Kirpa Customer Form'!A70</f>
        <v>0</v>
      </c>
      <c r="B110" s="54">
        <f>'Guru Kirpa Customer Form'!B70</f>
        <v>0</v>
      </c>
      <c r="C110" s="54">
        <f>'Guru Kirpa Customer Form'!D70</f>
        <v>0</v>
      </c>
    </row>
    <row r="111" spans="1:3" ht="18" x14ac:dyDescent="0.35">
      <c r="A111" s="54">
        <f>'Guru Kirpa Customer Form'!A71</f>
        <v>0</v>
      </c>
      <c r="B111" s="54">
        <f>'Guru Kirpa Customer Form'!B71</f>
        <v>0</v>
      </c>
      <c r="C111" s="54">
        <f>'Guru Kirpa Customer Form'!D71</f>
        <v>0</v>
      </c>
    </row>
    <row r="112" spans="1:3" ht="18" x14ac:dyDescent="0.35">
      <c r="A112" s="54">
        <f>'Guru Kirpa Customer Form'!A72</f>
        <v>0</v>
      </c>
      <c r="B112" s="54">
        <f>'Guru Kirpa Customer Form'!B72</f>
        <v>0</v>
      </c>
      <c r="C112" s="54">
        <f>'Guru Kirpa Customer Form'!D72</f>
        <v>0</v>
      </c>
    </row>
    <row r="113" spans="1:3" ht="18" x14ac:dyDescent="0.35">
      <c r="A113" s="54">
        <f>'Guru Kirpa Customer Form'!A73</f>
        <v>0</v>
      </c>
      <c r="B113" s="54">
        <f>'Guru Kirpa Customer Form'!B73</f>
        <v>0</v>
      </c>
      <c r="C113" s="54">
        <f>'Guru Kirpa Customer Form'!D73</f>
        <v>0</v>
      </c>
    </row>
    <row r="114" spans="1:3" ht="18" x14ac:dyDescent="0.35">
      <c r="A114" s="54">
        <f>'Guru Kirpa Customer Form'!A74</f>
        <v>0</v>
      </c>
      <c r="B114" s="54">
        <f>'Guru Kirpa Customer Form'!B74</f>
        <v>0</v>
      </c>
      <c r="C114" s="54">
        <f>'Guru Kirpa Customer Form'!D74</f>
        <v>0</v>
      </c>
    </row>
    <row r="115" spans="1:3" ht="18" x14ac:dyDescent="0.35">
      <c r="A115" s="54">
        <f>'Guru Kirpa Customer Form'!A75</f>
        <v>0</v>
      </c>
      <c r="B115" s="54">
        <f>'Guru Kirpa Customer Form'!B75</f>
        <v>0</v>
      </c>
      <c r="C115" s="54">
        <f>'Guru Kirpa Customer Form'!D75</f>
        <v>0</v>
      </c>
    </row>
    <row r="116" spans="1:3" ht="18" x14ac:dyDescent="0.35">
      <c r="A116" s="54">
        <f>'Guru Kirpa Customer Form'!A76</f>
        <v>0</v>
      </c>
      <c r="B116" s="54">
        <f>'Guru Kirpa Customer Form'!B76</f>
        <v>0</v>
      </c>
      <c r="C116" s="54">
        <f>'Guru Kirpa Customer Form'!D76</f>
        <v>0</v>
      </c>
    </row>
    <row r="117" spans="1:3" ht="18" x14ac:dyDescent="0.35">
      <c r="A117" s="54">
        <f>'Guru Kirpa Customer Form'!A77</f>
        <v>0</v>
      </c>
      <c r="B117" s="54">
        <f>'Guru Kirpa Customer Form'!B77</f>
        <v>0</v>
      </c>
      <c r="C117" s="54">
        <f>'Guru Kirpa Customer Form'!D77</f>
        <v>0</v>
      </c>
    </row>
    <row r="118" spans="1:3" ht="18" x14ac:dyDescent="0.35">
      <c r="A118" s="54">
        <f>'Guru Kirpa Customer Form'!A78</f>
        <v>0</v>
      </c>
      <c r="B118" s="54">
        <f>'Guru Kirpa Customer Form'!B78</f>
        <v>0</v>
      </c>
      <c r="C118" s="54">
        <f>'Guru Kirpa Customer Form'!D78</f>
        <v>0</v>
      </c>
    </row>
    <row r="119" spans="1:3" ht="18" x14ac:dyDescent="0.35">
      <c r="A119" s="54">
        <f>'Guru Kirpa Customer Form'!A79</f>
        <v>0</v>
      </c>
      <c r="B119" s="54">
        <f>'Guru Kirpa Customer Form'!B79</f>
        <v>0</v>
      </c>
      <c r="C119" s="54">
        <f>'Guru Kirpa Customer Form'!D79</f>
        <v>0</v>
      </c>
    </row>
    <row r="120" spans="1:3" ht="18" x14ac:dyDescent="0.35">
      <c r="A120" s="54">
        <f>'Guru Kirpa Customer Form'!A80</f>
        <v>0</v>
      </c>
      <c r="B120" s="54">
        <f>'Guru Kirpa Customer Form'!B80</f>
        <v>0</v>
      </c>
      <c r="C120" s="54">
        <f>'Guru Kirpa Customer Form'!D80</f>
        <v>0</v>
      </c>
    </row>
    <row r="121" spans="1:3" ht="18" x14ac:dyDescent="0.35">
      <c r="A121" s="54">
        <f>'Guru Kirpa Customer Form'!A81</f>
        <v>0</v>
      </c>
      <c r="B121" s="54">
        <f>'Guru Kirpa Customer Form'!B81</f>
        <v>0</v>
      </c>
      <c r="C121" s="54">
        <f>'Guru Kirpa Customer Form'!D81</f>
        <v>0</v>
      </c>
    </row>
    <row r="122" spans="1:3" ht="18" x14ac:dyDescent="0.35">
      <c r="A122" s="54">
        <f>'Guru Kirpa Customer Form'!A82</f>
        <v>0</v>
      </c>
      <c r="B122" s="54">
        <f>'Guru Kirpa Customer Form'!B82</f>
        <v>0</v>
      </c>
      <c r="C122" s="54">
        <f>'Guru Kirpa Customer Form'!D82</f>
        <v>0</v>
      </c>
    </row>
    <row r="123" spans="1:3" ht="18" x14ac:dyDescent="0.35">
      <c r="A123" s="54">
        <f>'Guru Kirpa Customer Form'!A83</f>
        <v>0</v>
      </c>
      <c r="B123" s="54">
        <f>'Guru Kirpa Customer Form'!B83</f>
        <v>0</v>
      </c>
      <c r="C123" s="54">
        <f>'Guru Kirpa Customer Form'!D83</f>
        <v>0</v>
      </c>
    </row>
    <row r="124" spans="1:3" ht="18" x14ac:dyDescent="0.35">
      <c r="A124" s="54">
        <f>'Guru Kirpa Customer Form'!A84</f>
        <v>0</v>
      </c>
      <c r="B124" s="54">
        <f>'Guru Kirpa Customer Form'!B84</f>
        <v>0</v>
      </c>
      <c r="C124" s="54">
        <f>'Guru Kirpa Customer Form'!D84</f>
        <v>0</v>
      </c>
    </row>
    <row r="125" spans="1:3" ht="18" x14ac:dyDescent="0.35">
      <c r="A125" s="54">
        <f>'Guru Kirpa Customer Form'!A85</f>
        <v>0</v>
      </c>
      <c r="B125" s="54">
        <f>'Guru Kirpa Customer Form'!B85</f>
        <v>0</v>
      </c>
      <c r="C125" s="54">
        <f>'Guru Kirpa Customer Form'!D85</f>
        <v>0</v>
      </c>
    </row>
    <row r="126" spans="1:3" ht="18" x14ac:dyDescent="0.35">
      <c r="A126" s="54">
        <f>'Guru Kirpa Customer Form'!A86</f>
        <v>0</v>
      </c>
      <c r="B126" s="54">
        <f>'Guru Kirpa Customer Form'!B86</f>
        <v>0</v>
      </c>
      <c r="C126" s="54">
        <f>'Guru Kirpa Customer Form'!D86</f>
        <v>0</v>
      </c>
    </row>
    <row r="127" spans="1:3" ht="18" x14ac:dyDescent="0.35">
      <c r="A127" s="54">
        <f>'Guru Kirpa Customer Form'!A87</f>
        <v>0</v>
      </c>
      <c r="B127" s="54">
        <f>'Guru Kirpa Customer Form'!B87</f>
        <v>0</v>
      </c>
      <c r="C127" s="54">
        <f>'Guru Kirpa Customer Form'!D87</f>
        <v>0</v>
      </c>
    </row>
    <row r="128" spans="1:3" ht="18" x14ac:dyDescent="0.35">
      <c r="A128" s="54">
        <f>'Guru Kirpa Customer Form'!A88</f>
        <v>0</v>
      </c>
      <c r="B128" s="54">
        <f>'Guru Kirpa Customer Form'!B88</f>
        <v>0</v>
      </c>
      <c r="C128" s="54">
        <f>'Guru Kirpa Customer Form'!D88</f>
        <v>0</v>
      </c>
    </row>
    <row r="129" spans="1:3" ht="18" x14ac:dyDescent="0.35">
      <c r="A129" s="54">
        <f>'Guru Kirpa Customer Form'!A89</f>
        <v>0</v>
      </c>
      <c r="B129" s="54">
        <f>'Guru Kirpa Customer Form'!B89</f>
        <v>0</v>
      </c>
      <c r="C129" s="54">
        <f>'Guru Kirpa Customer Form'!D89</f>
        <v>0</v>
      </c>
    </row>
    <row r="130" spans="1:3" ht="18" x14ac:dyDescent="0.35">
      <c r="A130" s="54">
        <f>'Guru Kirpa Customer Form'!A90</f>
        <v>0</v>
      </c>
      <c r="B130" s="54">
        <f>'Guru Kirpa Customer Form'!B90</f>
        <v>0</v>
      </c>
      <c r="C130" s="54">
        <f>'Guru Kirpa Customer Form'!D90</f>
        <v>0</v>
      </c>
    </row>
    <row r="131" spans="1:3" ht="18" x14ac:dyDescent="0.35">
      <c r="A131" s="54">
        <f>'Guru Kirpa Customer Form'!A91</f>
        <v>0</v>
      </c>
      <c r="B131" s="54">
        <f>'Guru Kirpa Customer Form'!B91</f>
        <v>0</v>
      </c>
      <c r="C131" s="54">
        <f>'Guru Kirpa Customer Form'!D91</f>
        <v>0</v>
      </c>
    </row>
    <row r="132" spans="1:3" ht="18" x14ac:dyDescent="0.35">
      <c r="A132" s="54">
        <f>'Guru Kirpa Customer Form'!A92</f>
        <v>0</v>
      </c>
      <c r="B132" s="54">
        <f>'Guru Kirpa Customer Form'!B92</f>
        <v>0</v>
      </c>
      <c r="C132" s="54">
        <f>'Guru Kirpa Customer Form'!D92</f>
        <v>0</v>
      </c>
    </row>
    <row r="133" spans="1:3" ht="18" x14ac:dyDescent="0.35">
      <c r="A133" s="54">
        <f>'Guru Kirpa Customer Form'!A93</f>
        <v>0</v>
      </c>
      <c r="B133" s="54">
        <f>'Guru Kirpa Customer Form'!B93</f>
        <v>0</v>
      </c>
      <c r="C133" s="54">
        <f>'Guru Kirpa Customer Form'!D93</f>
        <v>0</v>
      </c>
    </row>
    <row r="134" spans="1:3" ht="18" x14ac:dyDescent="0.35">
      <c r="A134" s="54">
        <f>'Guru Kirpa Customer Form'!A94</f>
        <v>0</v>
      </c>
      <c r="B134" s="54">
        <f>'Guru Kirpa Customer Form'!B94</f>
        <v>0</v>
      </c>
      <c r="C134" s="54">
        <f>'Guru Kirpa Customer Form'!D94</f>
        <v>0</v>
      </c>
    </row>
    <row r="135" spans="1:3" ht="18" x14ac:dyDescent="0.35">
      <c r="A135" s="54">
        <f>'Guru Kirpa Customer Form'!A95</f>
        <v>0</v>
      </c>
      <c r="B135" s="54">
        <f>'Guru Kirpa Customer Form'!B95</f>
        <v>0</v>
      </c>
      <c r="C135" s="54">
        <f>'Guru Kirpa Customer Form'!D95</f>
        <v>0</v>
      </c>
    </row>
    <row r="136" spans="1:3" ht="18" x14ac:dyDescent="0.35">
      <c r="A136" s="54">
        <f>'Guru Kirpa Customer Form'!A96</f>
        <v>0</v>
      </c>
      <c r="B136" s="54">
        <f>'Guru Kirpa Customer Form'!B96</f>
        <v>0</v>
      </c>
      <c r="C136" s="54">
        <f>'Guru Kirpa Customer Form'!D96</f>
        <v>0</v>
      </c>
    </row>
    <row r="137" spans="1:3" ht="18" x14ac:dyDescent="0.35">
      <c r="A137" s="54">
        <f>'Guru Kirpa Customer Form'!A97</f>
        <v>0</v>
      </c>
      <c r="B137" s="54">
        <f>'Guru Kirpa Customer Form'!B97</f>
        <v>0</v>
      </c>
      <c r="C137" s="54">
        <f>'Guru Kirpa Customer Form'!D97</f>
        <v>0</v>
      </c>
    </row>
    <row r="138" spans="1:3" ht="18" x14ac:dyDescent="0.35">
      <c r="A138" s="54">
        <f>'Guru Kirpa Customer Form'!A98</f>
        <v>0</v>
      </c>
      <c r="B138" s="54">
        <f>'Guru Kirpa Customer Form'!B98</f>
        <v>0</v>
      </c>
      <c r="C138" s="54">
        <f>'Guru Kirpa Customer Form'!D98</f>
        <v>0</v>
      </c>
    </row>
    <row r="139" spans="1:3" ht="18" x14ac:dyDescent="0.35">
      <c r="A139" s="54">
        <f>'Guru Kirpa Customer Form'!A99</f>
        <v>0</v>
      </c>
      <c r="B139" s="54">
        <f>'Guru Kirpa Customer Form'!B99</f>
        <v>0</v>
      </c>
      <c r="C139" s="54">
        <f>'Guru Kirpa Customer Form'!D99</f>
        <v>0</v>
      </c>
    </row>
    <row r="140" spans="1:3" ht="18" x14ac:dyDescent="0.35">
      <c r="A140" s="54">
        <f>'Guru Kirpa Customer Form'!A100</f>
        <v>0</v>
      </c>
      <c r="B140" s="54">
        <f>'Guru Kirpa Customer Form'!B100</f>
        <v>0</v>
      </c>
      <c r="C140" s="54">
        <f>'Guru Kirpa Customer Form'!D100</f>
        <v>0</v>
      </c>
    </row>
    <row r="141" spans="1:3" ht="18" x14ac:dyDescent="0.35">
      <c r="A141" s="54">
        <f>'Guru Kirpa Customer Form'!A101</f>
        <v>0</v>
      </c>
      <c r="B141" s="54">
        <f>'Guru Kirpa Customer Form'!B101</f>
        <v>0</v>
      </c>
      <c r="C141" s="54">
        <f>'Guru Kirpa Customer Form'!D101</f>
        <v>0</v>
      </c>
    </row>
    <row r="142" spans="1:3" ht="18" x14ac:dyDescent="0.35">
      <c r="A142" s="54">
        <f>'Guru Kirpa Customer Form'!A102</f>
        <v>0</v>
      </c>
      <c r="B142" s="54">
        <f>'Guru Kirpa Customer Form'!B102</f>
        <v>0</v>
      </c>
      <c r="C142" s="54">
        <f>'Guru Kirpa Customer Form'!D102</f>
        <v>0</v>
      </c>
    </row>
    <row r="143" spans="1:3" ht="18" x14ac:dyDescent="0.35">
      <c r="A143" s="54">
        <f>'Guru Kirpa Customer Form'!A103</f>
        <v>0</v>
      </c>
      <c r="B143" s="54">
        <f>'Guru Kirpa Customer Form'!B103</f>
        <v>0</v>
      </c>
      <c r="C143" s="54">
        <f>'Guru Kirpa Customer Form'!D103</f>
        <v>0</v>
      </c>
    </row>
    <row r="144" spans="1:3" ht="18" x14ac:dyDescent="0.35">
      <c r="A144" s="54">
        <f>'Guru Kirpa Customer Form'!A104</f>
        <v>0</v>
      </c>
      <c r="B144" s="54">
        <f>'Guru Kirpa Customer Form'!B104</f>
        <v>0</v>
      </c>
      <c r="C144" s="54">
        <f>'Guru Kirpa Customer Form'!D104</f>
        <v>0</v>
      </c>
    </row>
    <row r="145" spans="1:3" ht="18" x14ac:dyDescent="0.35">
      <c r="A145" s="54">
        <f>'Guru Kirpa Customer Form'!A105</f>
        <v>0</v>
      </c>
      <c r="B145" s="54">
        <f>'Guru Kirpa Customer Form'!B105</f>
        <v>0</v>
      </c>
      <c r="C145" s="54">
        <f>'Guru Kirpa Customer Form'!D105</f>
        <v>0</v>
      </c>
    </row>
    <row r="146" spans="1:3" ht="18" x14ac:dyDescent="0.35">
      <c r="A146" s="54">
        <f>'Guru Kirpa Customer Form'!A106</f>
        <v>0</v>
      </c>
      <c r="B146" s="54">
        <f>'Guru Kirpa Customer Form'!B106</f>
        <v>0</v>
      </c>
      <c r="C146" s="54">
        <f>'Guru Kirpa Customer Form'!D106</f>
        <v>0</v>
      </c>
    </row>
    <row r="147" spans="1:3" ht="18" x14ac:dyDescent="0.35">
      <c r="A147" s="54">
        <f>'Guru Kirpa Customer Form'!A107</f>
        <v>0</v>
      </c>
      <c r="B147" s="54">
        <f>'Guru Kirpa Customer Form'!B107</f>
        <v>0</v>
      </c>
      <c r="C147" s="54">
        <f>'Guru Kirpa Customer Form'!D107</f>
        <v>0</v>
      </c>
    </row>
    <row r="148" spans="1:3" ht="18" x14ac:dyDescent="0.35">
      <c r="A148" s="54">
        <f>'Guru Kirpa Customer Form'!A108</f>
        <v>0</v>
      </c>
      <c r="B148" s="54">
        <f>'Guru Kirpa Customer Form'!B108</f>
        <v>0</v>
      </c>
      <c r="C148" s="54">
        <f>'Guru Kirpa Customer Form'!D108</f>
        <v>0</v>
      </c>
    </row>
    <row r="149" spans="1:3" ht="18" x14ac:dyDescent="0.35">
      <c r="A149" s="54">
        <f>'Guru Kirpa Customer Form'!A109</f>
        <v>0</v>
      </c>
      <c r="B149" s="54">
        <f>'Guru Kirpa Customer Form'!B109</f>
        <v>0</v>
      </c>
      <c r="C149" s="54">
        <f>'Guru Kirpa Customer Form'!D109</f>
        <v>0</v>
      </c>
    </row>
    <row r="150" spans="1:3" ht="18" x14ac:dyDescent="0.35">
      <c r="A150" s="54">
        <f>'Guru Kirpa Customer Form'!A110</f>
        <v>0</v>
      </c>
      <c r="B150" s="54">
        <f>'Guru Kirpa Customer Form'!B110</f>
        <v>0</v>
      </c>
      <c r="C150" s="54">
        <f>'Guru Kirpa Customer Form'!D110</f>
        <v>0</v>
      </c>
    </row>
    <row r="151" spans="1:3" ht="18" x14ac:dyDescent="0.35">
      <c r="A151" s="54">
        <f>'Guru Kirpa Customer Form'!A111</f>
        <v>0</v>
      </c>
      <c r="B151" s="54">
        <f>'Guru Kirpa Customer Form'!B111</f>
        <v>0</v>
      </c>
      <c r="C151" s="54">
        <f>'Guru Kirpa Customer Form'!D111</f>
        <v>0</v>
      </c>
    </row>
    <row r="152" spans="1:3" ht="18" x14ac:dyDescent="0.35">
      <c r="A152" s="54">
        <f>'Guru Kirpa Customer Form'!A112</f>
        <v>0</v>
      </c>
      <c r="B152" s="54">
        <f>'Guru Kirpa Customer Form'!B112</f>
        <v>0</v>
      </c>
      <c r="C152" s="54">
        <f>'Guru Kirpa Customer Form'!D112</f>
        <v>0</v>
      </c>
    </row>
    <row r="153" spans="1:3" ht="18" x14ac:dyDescent="0.35">
      <c r="A153" s="54">
        <f>'Guru Kirpa Customer Form'!A113</f>
        <v>0</v>
      </c>
      <c r="B153" s="54">
        <f>'Guru Kirpa Customer Form'!B113</f>
        <v>0</v>
      </c>
      <c r="C153" s="54">
        <f>'Guru Kirpa Customer Form'!D113</f>
        <v>0</v>
      </c>
    </row>
    <row r="154" spans="1:3" ht="18" x14ac:dyDescent="0.35">
      <c r="A154" s="54">
        <f>'Guru Kirpa Customer Form'!A114</f>
        <v>0</v>
      </c>
      <c r="B154" s="54">
        <f>'Guru Kirpa Customer Form'!B114</f>
        <v>0</v>
      </c>
      <c r="C154" s="54">
        <f>'Guru Kirpa Customer Form'!D114</f>
        <v>0</v>
      </c>
    </row>
    <row r="155" spans="1:3" ht="18" x14ac:dyDescent="0.35">
      <c r="A155" s="54">
        <f>'Guru Kirpa Customer Form'!A115</f>
        <v>0</v>
      </c>
      <c r="B155" s="54">
        <f>'Guru Kirpa Customer Form'!B115</f>
        <v>0</v>
      </c>
      <c r="C155" s="54">
        <f>'Guru Kirpa Customer Form'!D115</f>
        <v>0</v>
      </c>
    </row>
    <row r="156" spans="1:3" ht="18" x14ac:dyDescent="0.35">
      <c r="A156" s="54">
        <f>'Guru Kirpa Customer Form'!A116</f>
        <v>0</v>
      </c>
      <c r="B156" s="54">
        <f>'Guru Kirpa Customer Form'!B116</f>
        <v>0</v>
      </c>
      <c r="C156" s="54">
        <f>'Guru Kirpa Customer Form'!D116</f>
        <v>0</v>
      </c>
    </row>
    <row r="157" spans="1:3" ht="18" x14ac:dyDescent="0.35">
      <c r="A157" s="54">
        <f>'Guru Kirpa Customer Form'!A117</f>
        <v>0</v>
      </c>
      <c r="B157" s="54">
        <f>'Guru Kirpa Customer Form'!B117</f>
        <v>0</v>
      </c>
      <c r="C157" s="54">
        <f>'Guru Kirpa Customer Form'!D117</f>
        <v>0</v>
      </c>
    </row>
    <row r="158" spans="1:3" ht="18" x14ac:dyDescent="0.35">
      <c r="A158" s="54">
        <f>'Guru Kirpa Customer Form'!A118</f>
        <v>0</v>
      </c>
      <c r="B158" s="54">
        <f>'Guru Kirpa Customer Form'!B118</f>
        <v>0</v>
      </c>
      <c r="C158" s="54">
        <f>'Guru Kirpa Customer Form'!D118</f>
        <v>0</v>
      </c>
    </row>
    <row r="159" spans="1:3" ht="18" x14ac:dyDescent="0.35">
      <c r="A159" s="54">
        <f>'Guru Kirpa Customer Form'!A119</f>
        <v>0</v>
      </c>
      <c r="B159" s="54">
        <f>'Guru Kirpa Customer Form'!B119</f>
        <v>0</v>
      </c>
      <c r="C159" s="54">
        <f>'Guru Kirpa Customer Form'!D119</f>
        <v>0</v>
      </c>
    </row>
    <row r="160" spans="1:3" ht="18" x14ac:dyDescent="0.35">
      <c r="A160" s="54">
        <f>'Guru Kirpa Customer Form'!A120</f>
        <v>0</v>
      </c>
      <c r="B160" s="54">
        <f>'Guru Kirpa Customer Form'!B120</f>
        <v>0</v>
      </c>
      <c r="C160" s="54">
        <f>'Guru Kirpa Customer Form'!D120</f>
        <v>0</v>
      </c>
    </row>
    <row r="161" spans="1:3" ht="18" x14ac:dyDescent="0.35">
      <c r="A161" s="54">
        <f>'Guru Kirpa Customer Form'!A121</f>
        <v>0</v>
      </c>
      <c r="B161" s="54">
        <f>'Guru Kirpa Customer Form'!B121</f>
        <v>0</v>
      </c>
      <c r="C161" s="54">
        <f>'Guru Kirpa Customer Form'!D121</f>
        <v>0</v>
      </c>
    </row>
    <row r="162" spans="1:3" ht="18" x14ac:dyDescent="0.35">
      <c r="A162" s="54">
        <f>'Guru Kirpa Customer Form'!A122</f>
        <v>0</v>
      </c>
      <c r="B162" s="54">
        <f>'Guru Kirpa Customer Form'!B122</f>
        <v>0</v>
      </c>
      <c r="C162" s="54">
        <f>'Guru Kirpa Customer Form'!D122</f>
        <v>0</v>
      </c>
    </row>
    <row r="163" spans="1:3" ht="18" x14ac:dyDescent="0.35">
      <c r="A163" s="54">
        <f>'Guru Kirpa Customer Form'!A123</f>
        <v>0</v>
      </c>
      <c r="B163" s="54">
        <f>'Guru Kirpa Customer Form'!B123</f>
        <v>0</v>
      </c>
      <c r="C163" s="54">
        <f>'Guru Kirpa Customer Form'!D123</f>
        <v>0</v>
      </c>
    </row>
    <row r="164" spans="1:3" ht="18" x14ac:dyDescent="0.35">
      <c r="A164" s="54">
        <f>'Guru Kirpa Customer Form'!A124</f>
        <v>0</v>
      </c>
      <c r="B164" s="54">
        <f>'Guru Kirpa Customer Form'!B124</f>
        <v>0</v>
      </c>
      <c r="C164" s="54">
        <f>'Guru Kirpa Customer Form'!D124</f>
        <v>0</v>
      </c>
    </row>
    <row r="165" spans="1:3" ht="18" x14ac:dyDescent="0.35">
      <c r="A165" s="54">
        <f>'Guru Kirpa Customer Form'!A125</f>
        <v>0</v>
      </c>
      <c r="B165" s="54">
        <f>'Guru Kirpa Customer Form'!B125</f>
        <v>0</v>
      </c>
      <c r="C165" s="54">
        <f>'Guru Kirpa Customer Form'!D125</f>
        <v>0</v>
      </c>
    </row>
    <row r="166" spans="1:3" ht="18" x14ac:dyDescent="0.35">
      <c r="A166" s="54">
        <f>'Guru Kirpa Customer Form'!A126</f>
        <v>0</v>
      </c>
      <c r="B166" s="54">
        <f>'Guru Kirpa Customer Form'!B126</f>
        <v>0</v>
      </c>
      <c r="C166" s="54">
        <f>'Guru Kirpa Customer Form'!D126</f>
        <v>0</v>
      </c>
    </row>
    <row r="167" spans="1:3" ht="18" x14ac:dyDescent="0.35">
      <c r="A167" s="54">
        <f>'Guru Kirpa Customer Form'!A127</f>
        <v>0</v>
      </c>
      <c r="B167" s="54">
        <f>'Guru Kirpa Customer Form'!B127</f>
        <v>0</v>
      </c>
      <c r="C167" s="54">
        <f>'Guru Kirpa Customer Form'!D127</f>
        <v>0</v>
      </c>
    </row>
    <row r="168" spans="1:3" ht="18" x14ac:dyDescent="0.35">
      <c r="A168" s="54">
        <f>'Guru Kirpa Customer Form'!A128</f>
        <v>0</v>
      </c>
      <c r="B168" s="54">
        <f>'Guru Kirpa Customer Form'!B128</f>
        <v>0</v>
      </c>
      <c r="C168" s="54">
        <f>'Guru Kirpa Customer Form'!D128</f>
        <v>0</v>
      </c>
    </row>
    <row r="169" spans="1:3" ht="18" x14ac:dyDescent="0.35">
      <c r="A169" s="54">
        <f>'Guru Kirpa Customer Form'!A129</f>
        <v>0</v>
      </c>
      <c r="B169" s="54">
        <f>'Guru Kirpa Customer Form'!B129</f>
        <v>0</v>
      </c>
      <c r="C169" s="54">
        <f>'Guru Kirpa Customer Form'!D129</f>
        <v>0</v>
      </c>
    </row>
    <row r="170" spans="1:3" ht="18" x14ac:dyDescent="0.35">
      <c r="A170" s="54">
        <f>'Guru Kirpa Customer Form'!A130</f>
        <v>0</v>
      </c>
      <c r="B170" s="54">
        <f>'Guru Kirpa Customer Form'!B130</f>
        <v>0</v>
      </c>
      <c r="C170" s="54">
        <f>'Guru Kirpa Customer Form'!D130</f>
        <v>0</v>
      </c>
    </row>
    <row r="171" spans="1:3" ht="18" x14ac:dyDescent="0.35">
      <c r="A171" s="54">
        <f>'Guru Kirpa Customer Form'!A131</f>
        <v>0</v>
      </c>
      <c r="B171" s="54">
        <f>'Guru Kirpa Customer Form'!B131</f>
        <v>0</v>
      </c>
      <c r="C171" s="54">
        <f>'Guru Kirpa Customer Form'!D131</f>
        <v>0</v>
      </c>
    </row>
    <row r="172" spans="1:3" ht="18" x14ac:dyDescent="0.35">
      <c r="A172" s="54">
        <f>'Guru Kirpa Customer Form'!A132</f>
        <v>0</v>
      </c>
      <c r="B172" s="54">
        <f>'Guru Kirpa Customer Form'!B132</f>
        <v>0</v>
      </c>
      <c r="C172" s="54">
        <f>'Guru Kirpa Customer Form'!D132</f>
        <v>0</v>
      </c>
    </row>
    <row r="173" spans="1:3" ht="18" x14ac:dyDescent="0.35">
      <c r="A173" s="54">
        <f>'Guru Kirpa Customer Form'!A133</f>
        <v>0</v>
      </c>
      <c r="B173" s="54">
        <f>'Guru Kirpa Customer Form'!B133</f>
        <v>0</v>
      </c>
      <c r="C173" s="54">
        <f>'Guru Kirpa Customer Form'!D133</f>
        <v>0</v>
      </c>
    </row>
    <row r="174" spans="1:3" ht="18" x14ac:dyDescent="0.35">
      <c r="A174" s="54">
        <f>'Guru Kirpa Customer Form'!A134</f>
        <v>0</v>
      </c>
      <c r="B174" s="54">
        <f>'Guru Kirpa Customer Form'!B134</f>
        <v>0</v>
      </c>
      <c r="C174" s="54">
        <f>'Guru Kirpa Customer Form'!D134</f>
        <v>0</v>
      </c>
    </row>
    <row r="175" spans="1:3" ht="18" x14ac:dyDescent="0.35">
      <c r="A175" s="54">
        <f>'Guru Kirpa Customer Form'!A135</f>
        <v>0</v>
      </c>
      <c r="B175" s="54">
        <f>'Guru Kirpa Customer Form'!B135</f>
        <v>0</v>
      </c>
      <c r="C175" s="54">
        <f>'Guru Kirpa Customer Form'!D135</f>
        <v>0</v>
      </c>
    </row>
    <row r="176" spans="1:3" ht="18" x14ac:dyDescent="0.35">
      <c r="A176" s="54">
        <f>'Guru Kirpa Customer Form'!A136</f>
        <v>0</v>
      </c>
      <c r="B176" s="54">
        <f>'Guru Kirpa Customer Form'!B136</f>
        <v>0</v>
      </c>
      <c r="C176" s="54">
        <f>'Guru Kirpa Customer Form'!D136</f>
        <v>0</v>
      </c>
    </row>
    <row r="177" spans="1:3" ht="18" x14ac:dyDescent="0.35">
      <c r="A177" s="54">
        <f>'Guru Kirpa Customer Form'!A137</f>
        <v>0</v>
      </c>
      <c r="B177" s="54">
        <f>'Guru Kirpa Customer Form'!B137</f>
        <v>0</v>
      </c>
      <c r="C177" s="54">
        <f>'Guru Kirpa Customer Form'!D137</f>
        <v>0</v>
      </c>
    </row>
    <row r="178" spans="1:3" ht="18" x14ac:dyDescent="0.35">
      <c r="A178" s="54">
        <f>'Guru Kirpa Customer Form'!A138</f>
        <v>0</v>
      </c>
      <c r="B178" s="54">
        <f>'Guru Kirpa Customer Form'!B138</f>
        <v>0</v>
      </c>
      <c r="C178" s="54">
        <f>'Guru Kirpa Customer Form'!D138</f>
        <v>0</v>
      </c>
    </row>
    <row r="179" spans="1:3" ht="18" x14ac:dyDescent="0.35">
      <c r="A179" s="54">
        <f>'Guru Kirpa Customer Form'!A139</f>
        <v>0</v>
      </c>
      <c r="B179" s="54">
        <f>'Guru Kirpa Customer Form'!B139</f>
        <v>0</v>
      </c>
      <c r="C179" s="54">
        <f>'Guru Kirpa Customer Form'!D139</f>
        <v>0</v>
      </c>
    </row>
    <row r="180" spans="1:3" ht="18" x14ac:dyDescent="0.35">
      <c r="A180" s="54">
        <f>'Guru Kirpa Customer Form'!A140</f>
        <v>0</v>
      </c>
      <c r="B180" s="54">
        <f>'Guru Kirpa Customer Form'!B140</f>
        <v>0</v>
      </c>
      <c r="C180" s="54">
        <f>'Guru Kirpa Customer Form'!D140</f>
        <v>0</v>
      </c>
    </row>
    <row r="181" spans="1:3" ht="18" x14ac:dyDescent="0.35">
      <c r="A181" s="54">
        <f>'Guru Kirpa Customer Form'!A141</f>
        <v>0</v>
      </c>
      <c r="B181" s="54">
        <f>'Guru Kirpa Customer Form'!B141</f>
        <v>0</v>
      </c>
      <c r="C181" s="54">
        <f>'Guru Kirpa Customer Form'!D141</f>
        <v>0</v>
      </c>
    </row>
    <row r="182" spans="1:3" ht="18" x14ac:dyDescent="0.35">
      <c r="A182" s="54">
        <f>'Guru Kirpa Customer Form'!A142</f>
        <v>0</v>
      </c>
      <c r="B182" s="54">
        <f>'Guru Kirpa Customer Form'!B142</f>
        <v>0</v>
      </c>
      <c r="C182" s="54">
        <f>'Guru Kirpa Customer Form'!D142</f>
        <v>0</v>
      </c>
    </row>
    <row r="183" spans="1:3" ht="18" x14ac:dyDescent="0.35">
      <c r="A183" s="54">
        <f>'Guru Kirpa Customer Form'!A143</f>
        <v>0</v>
      </c>
      <c r="B183" s="54">
        <f>'Guru Kirpa Customer Form'!B143</f>
        <v>0</v>
      </c>
      <c r="C183" s="54">
        <f>'Guru Kirpa Customer Form'!D143</f>
        <v>0</v>
      </c>
    </row>
    <row r="184" spans="1:3" ht="18" x14ac:dyDescent="0.35">
      <c r="A184" s="54">
        <f>'Guru Kirpa Customer Form'!A144</f>
        <v>0</v>
      </c>
      <c r="B184" s="54">
        <f>'Guru Kirpa Customer Form'!B144</f>
        <v>0</v>
      </c>
      <c r="C184" s="54">
        <f>'Guru Kirpa Customer Form'!D144</f>
        <v>0</v>
      </c>
    </row>
    <row r="185" spans="1:3" ht="18" x14ac:dyDescent="0.35">
      <c r="A185" s="54">
        <f>'Guru Kirpa Customer Form'!A145</f>
        <v>0</v>
      </c>
      <c r="B185" s="54">
        <f>'Guru Kirpa Customer Form'!B145</f>
        <v>0</v>
      </c>
      <c r="C185" s="54">
        <f>'Guru Kirpa Customer Form'!D145</f>
        <v>0</v>
      </c>
    </row>
    <row r="186" spans="1:3" ht="18" x14ac:dyDescent="0.35">
      <c r="A186" s="54">
        <f>'Guru Kirpa Customer Form'!A146</f>
        <v>0</v>
      </c>
      <c r="B186" s="54">
        <f>'Guru Kirpa Customer Form'!B146</f>
        <v>0</v>
      </c>
      <c r="C186" s="54">
        <f>'Guru Kirpa Customer Form'!D146</f>
        <v>0</v>
      </c>
    </row>
    <row r="187" spans="1:3" ht="18" x14ac:dyDescent="0.35">
      <c r="A187" s="54">
        <f>'Guru Kirpa Customer Form'!A147</f>
        <v>0</v>
      </c>
      <c r="B187" s="54">
        <f>'Guru Kirpa Customer Form'!B147</f>
        <v>0</v>
      </c>
      <c r="C187" s="54">
        <f>'Guru Kirpa Customer Form'!D147</f>
        <v>0</v>
      </c>
    </row>
    <row r="188" spans="1:3" ht="18" x14ac:dyDescent="0.35">
      <c r="A188" s="54">
        <f>'Guru Kirpa Customer Form'!A148</f>
        <v>0</v>
      </c>
      <c r="B188" s="54">
        <f>'Guru Kirpa Customer Form'!B148</f>
        <v>0</v>
      </c>
      <c r="C188" s="54">
        <f>'Guru Kirpa Customer Form'!D148</f>
        <v>0</v>
      </c>
    </row>
    <row r="189" spans="1:3" ht="18" x14ac:dyDescent="0.35">
      <c r="A189" s="54">
        <f>'Guru Kirpa Customer Form'!A149</f>
        <v>0</v>
      </c>
      <c r="B189" s="54">
        <f>'Guru Kirpa Customer Form'!B149</f>
        <v>0</v>
      </c>
      <c r="C189" s="54">
        <f>'Guru Kirpa Customer Form'!D149</f>
        <v>0</v>
      </c>
    </row>
    <row r="190" spans="1:3" ht="18" x14ac:dyDescent="0.35">
      <c r="A190" s="54">
        <f>'Guru Kirpa Customer Form'!A150</f>
        <v>0</v>
      </c>
      <c r="B190" s="54">
        <f>'Guru Kirpa Customer Form'!B150</f>
        <v>0</v>
      </c>
      <c r="C190" s="54">
        <f>'Guru Kirpa Customer Form'!D150</f>
        <v>0</v>
      </c>
    </row>
    <row r="191" spans="1:3" ht="18" x14ac:dyDescent="0.35">
      <c r="A191" s="54">
        <f>'Guru Kirpa Customer Form'!A151</f>
        <v>0</v>
      </c>
      <c r="B191" s="54">
        <f>'Guru Kirpa Customer Form'!B151</f>
        <v>0</v>
      </c>
      <c r="C191" s="54">
        <f>'Guru Kirpa Customer Form'!D151</f>
        <v>0</v>
      </c>
    </row>
    <row r="192" spans="1:3" ht="18" x14ac:dyDescent="0.35">
      <c r="A192" s="54">
        <f>'Guru Kirpa Customer Form'!A152</f>
        <v>0</v>
      </c>
      <c r="B192" s="54">
        <f>'Guru Kirpa Customer Form'!B152</f>
        <v>0</v>
      </c>
      <c r="C192" s="54">
        <f>'Guru Kirpa Customer Form'!D152</f>
        <v>0</v>
      </c>
    </row>
    <row r="193" spans="1:3" ht="18" x14ac:dyDescent="0.35">
      <c r="A193" s="54">
        <f>'Guru Kirpa Customer Form'!A153</f>
        <v>0</v>
      </c>
      <c r="B193" s="54">
        <f>'Guru Kirpa Customer Form'!B153</f>
        <v>0</v>
      </c>
      <c r="C193" s="54">
        <f>'Guru Kirpa Customer Form'!D153</f>
        <v>0</v>
      </c>
    </row>
    <row r="194" spans="1:3" ht="18" x14ac:dyDescent="0.35">
      <c r="A194" s="54">
        <f>'Guru Kirpa Customer Form'!A154</f>
        <v>0</v>
      </c>
      <c r="B194" s="54">
        <f>'Guru Kirpa Customer Form'!B154</f>
        <v>0</v>
      </c>
      <c r="C194" s="54">
        <f>'Guru Kirpa Customer Form'!D154</f>
        <v>0</v>
      </c>
    </row>
    <row r="195" spans="1:3" ht="18" x14ac:dyDescent="0.35">
      <c r="A195" s="54">
        <f>'Guru Kirpa Customer Form'!A155</f>
        <v>0</v>
      </c>
      <c r="B195" s="54">
        <f>'Guru Kirpa Customer Form'!B155</f>
        <v>0</v>
      </c>
      <c r="C195" s="54">
        <f>'Guru Kirpa Customer Form'!D155</f>
        <v>0</v>
      </c>
    </row>
    <row r="196" spans="1:3" ht="18" x14ac:dyDescent="0.35">
      <c r="A196" s="54">
        <f>'Guru Kirpa Customer Form'!A156</f>
        <v>0</v>
      </c>
      <c r="B196" s="54">
        <f>'Guru Kirpa Customer Form'!B156</f>
        <v>0</v>
      </c>
      <c r="C196" s="54">
        <f>'Guru Kirpa Customer Form'!D156</f>
        <v>0</v>
      </c>
    </row>
    <row r="197" spans="1:3" ht="18" x14ac:dyDescent="0.35">
      <c r="A197" s="54">
        <f>'Guru Kirpa Customer Form'!A157</f>
        <v>0</v>
      </c>
      <c r="B197" s="54">
        <f>'Guru Kirpa Customer Form'!B157</f>
        <v>0</v>
      </c>
      <c r="C197" s="54">
        <f>'Guru Kirpa Customer Form'!D157</f>
        <v>0</v>
      </c>
    </row>
    <row r="198" spans="1:3" ht="18" x14ac:dyDescent="0.35">
      <c r="A198" s="54">
        <f>'Guru Kirpa Customer Form'!A158</f>
        <v>0</v>
      </c>
      <c r="B198" s="54">
        <f>'Guru Kirpa Customer Form'!B158</f>
        <v>0</v>
      </c>
      <c r="C198" s="54">
        <f>'Guru Kirpa Customer Form'!D158</f>
        <v>0</v>
      </c>
    </row>
    <row r="199" spans="1:3" ht="18" x14ac:dyDescent="0.35">
      <c r="A199" s="54">
        <f>'Guru Kirpa Customer Form'!A159</f>
        <v>0</v>
      </c>
      <c r="B199" s="54">
        <f>'Guru Kirpa Customer Form'!B159</f>
        <v>0</v>
      </c>
      <c r="C199" s="54">
        <f>'Guru Kirpa Customer Form'!D159</f>
        <v>0</v>
      </c>
    </row>
    <row r="200" spans="1:3" ht="18" x14ac:dyDescent="0.35">
      <c r="A200" s="54">
        <f>'Guru Kirpa Customer Form'!A160</f>
        <v>0</v>
      </c>
      <c r="B200" s="54">
        <f>'Guru Kirpa Customer Form'!B160</f>
        <v>0</v>
      </c>
      <c r="C200" s="54">
        <f>'Guru Kirpa Customer Form'!D160</f>
        <v>0</v>
      </c>
    </row>
    <row r="201" spans="1:3" ht="18" x14ac:dyDescent="0.35">
      <c r="A201" s="54">
        <f>'Guru Kirpa Customer Form'!A161</f>
        <v>0</v>
      </c>
      <c r="B201" s="54">
        <f>'Guru Kirpa Customer Form'!B161</f>
        <v>0</v>
      </c>
      <c r="C201" s="54">
        <f>'Guru Kirpa Customer Form'!D161</f>
        <v>0</v>
      </c>
    </row>
    <row r="202" spans="1:3" ht="18" x14ac:dyDescent="0.35">
      <c r="A202" s="54">
        <f>'Guru Kirpa Customer Form'!A162</f>
        <v>0</v>
      </c>
      <c r="B202" s="54">
        <f>'Guru Kirpa Customer Form'!B162</f>
        <v>0</v>
      </c>
      <c r="C202" s="54">
        <f>'Guru Kirpa Customer Form'!D162</f>
        <v>0</v>
      </c>
    </row>
    <row r="203" spans="1:3" ht="18" x14ac:dyDescent="0.35">
      <c r="A203" s="54">
        <f>'Guru Kirpa Customer Form'!A163</f>
        <v>0</v>
      </c>
      <c r="B203" s="54">
        <f>'Guru Kirpa Customer Form'!B163</f>
        <v>0</v>
      </c>
      <c r="C203" s="54">
        <f>'Guru Kirpa Customer Form'!D163</f>
        <v>0</v>
      </c>
    </row>
    <row r="204" spans="1:3" ht="18" x14ac:dyDescent="0.35">
      <c r="A204" s="54">
        <f>'Guru Kirpa Customer Form'!A164</f>
        <v>0</v>
      </c>
      <c r="B204" s="54">
        <f>'Guru Kirpa Customer Form'!B164</f>
        <v>0</v>
      </c>
      <c r="C204" s="54">
        <f>'Guru Kirpa Customer Form'!D164</f>
        <v>0</v>
      </c>
    </row>
    <row r="205" spans="1:3" ht="18" x14ac:dyDescent="0.35">
      <c r="A205" s="54">
        <f>'Guru Kirpa Customer Form'!A165</f>
        <v>0</v>
      </c>
      <c r="B205" s="54">
        <f>'Guru Kirpa Customer Form'!B165</f>
        <v>0</v>
      </c>
      <c r="C205" s="54">
        <f>'Guru Kirpa Customer Form'!D165</f>
        <v>0</v>
      </c>
    </row>
    <row r="206" spans="1:3" ht="18" x14ac:dyDescent="0.35">
      <c r="A206" s="54">
        <f>'Guru Kirpa Customer Form'!A166</f>
        <v>0</v>
      </c>
      <c r="B206" s="54">
        <f>'Guru Kirpa Customer Form'!B166</f>
        <v>0</v>
      </c>
      <c r="C206" s="54">
        <f>'Guru Kirpa Customer Form'!D166</f>
        <v>0</v>
      </c>
    </row>
    <row r="207" spans="1:3" ht="18" x14ac:dyDescent="0.35">
      <c r="A207" s="54">
        <f>'Guru Kirpa Customer Form'!A167</f>
        <v>0</v>
      </c>
      <c r="B207" s="54">
        <f>'Guru Kirpa Customer Form'!B167</f>
        <v>0</v>
      </c>
      <c r="C207" s="54">
        <f>'Guru Kirpa Customer Form'!D167</f>
        <v>0</v>
      </c>
    </row>
    <row r="208" spans="1:3" ht="18" x14ac:dyDescent="0.35">
      <c r="A208" s="54">
        <f>'Guru Kirpa Customer Form'!A168</f>
        <v>0</v>
      </c>
      <c r="B208" s="54">
        <f>'Guru Kirpa Customer Form'!B168</f>
        <v>0</v>
      </c>
      <c r="C208" s="54">
        <f>'Guru Kirpa Customer Form'!D168</f>
        <v>0</v>
      </c>
    </row>
    <row r="209" spans="1:3" ht="18" x14ac:dyDescent="0.35">
      <c r="A209" s="54">
        <f>'Guru Kirpa Customer Form'!A169</f>
        <v>0</v>
      </c>
      <c r="B209" s="54">
        <f>'Guru Kirpa Customer Form'!B169</f>
        <v>0</v>
      </c>
      <c r="C209" s="54">
        <f>'Guru Kirpa Customer Form'!D169</f>
        <v>0</v>
      </c>
    </row>
    <row r="210" spans="1:3" ht="18" x14ac:dyDescent="0.35">
      <c r="A210" s="54">
        <f>'Guru Kirpa Customer Form'!A170</f>
        <v>0</v>
      </c>
      <c r="B210" s="54">
        <f>'Guru Kirpa Customer Form'!B170</f>
        <v>0</v>
      </c>
      <c r="C210" s="54">
        <f>'Guru Kirpa Customer Form'!D170</f>
        <v>0</v>
      </c>
    </row>
    <row r="211" spans="1:3" ht="18" x14ac:dyDescent="0.35">
      <c r="A211" s="54">
        <f>'Guru Kirpa Customer Form'!A171</f>
        <v>0</v>
      </c>
      <c r="B211" s="54">
        <f>'Guru Kirpa Customer Form'!B171</f>
        <v>0</v>
      </c>
      <c r="C211" s="54">
        <f>'Guru Kirpa Customer Form'!D171</f>
        <v>0</v>
      </c>
    </row>
    <row r="212" spans="1:3" ht="18" x14ac:dyDescent="0.35">
      <c r="A212" s="54">
        <f>'Guru Kirpa Customer Form'!A172</f>
        <v>0</v>
      </c>
      <c r="B212" s="54">
        <f>'Guru Kirpa Customer Form'!B172</f>
        <v>0</v>
      </c>
      <c r="C212" s="54">
        <f>'Guru Kirpa Customer Form'!D172</f>
        <v>0</v>
      </c>
    </row>
    <row r="213" spans="1:3" ht="18" x14ac:dyDescent="0.35">
      <c r="A213" s="54">
        <f>'Guru Kirpa Customer Form'!A173</f>
        <v>0</v>
      </c>
      <c r="B213" s="54">
        <f>'Guru Kirpa Customer Form'!B173</f>
        <v>0</v>
      </c>
      <c r="C213" s="54">
        <f>'Guru Kirpa Customer Form'!D173</f>
        <v>0</v>
      </c>
    </row>
    <row r="214" spans="1:3" ht="18" x14ac:dyDescent="0.35">
      <c r="A214" s="54">
        <f>'Guru Kirpa Customer Form'!A174</f>
        <v>0</v>
      </c>
      <c r="B214" s="54">
        <f>'Guru Kirpa Customer Form'!B174</f>
        <v>0</v>
      </c>
      <c r="C214" s="54">
        <f>'Guru Kirpa Customer Form'!D174</f>
        <v>0</v>
      </c>
    </row>
    <row r="215" spans="1:3" ht="18" x14ac:dyDescent="0.35">
      <c r="A215" s="54">
        <f>'Guru Kirpa Customer Form'!A175</f>
        <v>0</v>
      </c>
      <c r="B215" s="54">
        <f>'Guru Kirpa Customer Form'!B175</f>
        <v>0</v>
      </c>
      <c r="C215" s="54">
        <f>'Guru Kirpa Customer Form'!D175</f>
        <v>0</v>
      </c>
    </row>
    <row r="216" spans="1:3" ht="18" x14ac:dyDescent="0.35">
      <c r="A216" s="54">
        <f>'Guru Kirpa Customer Form'!A176</f>
        <v>0</v>
      </c>
      <c r="B216" s="54">
        <f>'Guru Kirpa Customer Form'!B176</f>
        <v>0</v>
      </c>
      <c r="C216" s="54">
        <f>'Guru Kirpa Customer Form'!D176</f>
        <v>0</v>
      </c>
    </row>
    <row r="217" spans="1:3" ht="18" x14ac:dyDescent="0.35">
      <c r="A217" s="54">
        <f>'Guru Kirpa Customer Form'!A177</f>
        <v>0</v>
      </c>
      <c r="B217" s="54">
        <f>'Guru Kirpa Customer Form'!B177</f>
        <v>0</v>
      </c>
      <c r="C217" s="54">
        <f>'Guru Kirpa Customer Form'!D177</f>
        <v>0</v>
      </c>
    </row>
    <row r="218" spans="1:3" ht="18" x14ac:dyDescent="0.35">
      <c r="A218" s="54">
        <f>'Guru Kirpa Customer Form'!A178</f>
        <v>0</v>
      </c>
      <c r="B218" s="54">
        <f>'Guru Kirpa Customer Form'!B178</f>
        <v>0</v>
      </c>
      <c r="C218" s="54">
        <f>'Guru Kirpa Customer Form'!D178</f>
        <v>0</v>
      </c>
    </row>
    <row r="219" spans="1:3" ht="18" x14ac:dyDescent="0.35">
      <c r="A219" s="54">
        <f>'Guru Kirpa Customer Form'!A179</f>
        <v>0</v>
      </c>
      <c r="B219" s="54">
        <f>'Guru Kirpa Customer Form'!B179</f>
        <v>0</v>
      </c>
      <c r="C219" s="54">
        <f>'Guru Kirpa Customer Form'!D179</f>
        <v>0</v>
      </c>
    </row>
    <row r="220" spans="1:3" ht="18" x14ac:dyDescent="0.35">
      <c r="A220" s="54">
        <f>'Guru Kirpa Customer Form'!A180</f>
        <v>0</v>
      </c>
      <c r="B220" s="54">
        <f>'Guru Kirpa Customer Form'!B180</f>
        <v>0</v>
      </c>
      <c r="C220" s="54">
        <f>'Guru Kirpa Customer Form'!D180</f>
        <v>0</v>
      </c>
    </row>
    <row r="221" spans="1:3" ht="18" x14ac:dyDescent="0.35">
      <c r="A221" s="54">
        <f>'Guru Kirpa Customer Form'!A181</f>
        <v>0</v>
      </c>
      <c r="B221" s="54">
        <f>'Guru Kirpa Customer Form'!B181</f>
        <v>0</v>
      </c>
      <c r="C221" s="54">
        <f>'Guru Kirpa Customer Form'!D181</f>
        <v>0</v>
      </c>
    </row>
    <row r="222" spans="1:3" ht="18" x14ac:dyDescent="0.35">
      <c r="A222" s="54">
        <f>'Guru Kirpa Customer Form'!A182</f>
        <v>0</v>
      </c>
      <c r="B222" s="54">
        <f>'Guru Kirpa Customer Form'!B182</f>
        <v>0</v>
      </c>
      <c r="C222" s="54">
        <f>'Guru Kirpa Customer Form'!D182</f>
        <v>0</v>
      </c>
    </row>
    <row r="223" spans="1:3" ht="18" x14ac:dyDescent="0.35">
      <c r="A223" s="54">
        <f>'Guru Kirpa Customer Form'!A183</f>
        <v>0</v>
      </c>
      <c r="B223" s="54">
        <f>'Guru Kirpa Customer Form'!B183</f>
        <v>0</v>
      </c>
      <c r="C223" s="54">
        <f>'Guru Kirpa Customer Form'!D183</f>
        <v>0</v>
      </c>
    </row>
    <row r="224" spans="1:3" ht="18" x14ac:dyDescent="0.35">
      <c r="A224" s="54">
        <f>'Guru Kirpa Customer Form'!A184</f>
        <v>0</v>
      </c>
      <c r="B224" s="54">
        <f>'Guru Kirpa Customer Form'!B184</f>
        <v>0</v>
      </c>
      <c r="C224" s="54">
        <f>'Guru Kirpa Customer Form'!D184</f>
        <v>0</v>
      </c>
    </row>
    <row r="225" spans="1:3" ht="18" x14ac:dyDescent="0.35">
      <c r="A225" s="54">
        <f>'Guru Kirpa Customer Form'!A185</f>
        <v>0</v>
      </c>
      <c r="B225" s="54">
        <f>'Guru Kirpa Customer Form'!B185</f>
        <v>0</v>
      </c>
      <c r="C225" s="54">
        <f>'Guru Kirpa Customer Form'!D185</f>
        <v>0</v>
      </c>
    </row>
    <row r="226" spans="1:3" ht="18" x14ac:dyDescent="0.35">
      <c r="A226" s="54">
        <f>'Guru Kirpa Customer Form'!A186</f>
        <v>0</v>
      </c>
      <c r="B226" s="54">
        <f>'Guru Kirpa Customer Form'!B186</f>
        <v>0</v>
      </c>
      <c r="C226" s="54">
        <f>'Guru Kirpa Customer Form'!D186</f>
        <v>0</v>
      </c>
    </row>
    <row r="227" spans="1:3" ht="18" x14ac:dyDescent="0.35">
      <c r="A227" s="54">
        <f>'Guru Kirpa Customer Form'!A187</f>
        <v>0</v>
      </c>
      <c r="B227" s="54">
        <f>'Guru Kirpa Customer Form'!B187</f>
        <v>0</v>
      </c>
      <c r="C227" s="54">
        <f>'Guru Kirpa Customer Form'!D187</f>
        <v>0</v>
      </c>
    </row>
    <row r="228" spans="1:3" ht="18" x14ac:dyDescent="0.35">
      <c r="A228" s="54">
        <f>'Guru Kirpa Customer Form'!A188</f>
        <v>0</v>
      </c>
      <c r="B228" s="54">
        <f>'Guru Kirpa Customer Form'!B188</f>
        <v>0</v>
      </c>
      <c r="C228" s="54">
        <f>'Guru Kirpa Customer Form'!D188</f>
        <v>0</v>
      </c>
    </row>
    <row r="229" spans="1:3" ht="18" x14ac:dyDescent="0.35">
      <c r="A229" s="54">
        <f>'Guru Kirpa Customer Form'!A189</f>
        <v>0</v>
      </c>
      <c r="B229" s="54">
        <f>'Guru Kirpa Customer Form'!B189</f>
        <v>0</v>
      </c>
      <c r="C229" s="54">
        <f>'Guru Kirpa Customer Form'!D189</f>
        <v>0</v>
      </c>
    </row>
    <row r="230" spans="1:3" ht="18" x14ac:dyDescent="0.35">
      <c r="A230" s="54">
        <f>'Guru Kirpa Customer Form'!A190</f>
        <v>0</v>
      </c>
      <c r="B230" s="54">
        <f>'Guru Kirpa Customer Form'!B190</f>
        <v>0</v>
      </c>
      <c r="C230" s="54">
        <f>'Guru Kirpa Customer Form'!D190</f>
        <v>0</v>
      </c>
    </row>
    <row r="231" spans="1:3" ht="18" x14ac:dyDescent="0.35">
      <c r="A231" s="54">
        <f>'Guru Kirpa Customer Form'!A191</f>
        <v>0</v>
      </c>
      <c r="B231" s="54">
        <f>'Guru Kirpa Customer Form'!B191</f>
        <v>0</v>
      </c>
      <c r="C231" s="54">
        <f>'Guru Kirpa Customer Form'!D191</f>
        <v>0</v>
      </c>
    </row>
    <row r="232" spans="1:3" ht="18" x14ac:dyDescent="0.35">
      <c r="A232" s="54">
        <f>'Guru Kirpa Customer Form'!A192</f>
        <v>0</v>
      </c>
      <c r="B232" s="54">
        <f>'Guru Kirpa Customer Form'!B192</f>
        <v>0</v>
      </c>
      <c r="C232" s="54">
        <f>'Guru Kirpa Customer Form'!D192</f>
        <v>0</v>
      </c>
    </row>
    <row r="233" spans="1:3" ht="18" x14ac:dyDescent="0.35">
      <c r="A233" s="54">
        <f>'Guru Kirpa Customer Form'!A193</f>
        <v>0</v>
      </c>
      <c r="B233" s="54">
        <f>'Guru Kirpa Customer Form'!B193</f>
        <v>0</v>
      </c>
      <c r="C233" s="54">
        <f>'Guru Kirpa Customer Form'!D193</f>
        <v>0</v>
      </c>
    </row>
    <row r="234" spans="1:3" ht="18" x14ac:dyDescent="0.35">
      <c r="A234" s="54">
        <f>'Guru Kirpa Customer Form'!A194</f>
        <v>0</v>
      </c>
      <c r="B234" s="54">
        <f>'Guru Kirpa Customer Form'!B194</f>
        <v>0</v>
      </c>
      <c r="C234" s="54">
        <f>'Guru Kirpa Customer Form'!D194</f>
        <v>0</v>
      </c>
    </row>
    <row r="235" spans="1:3" ht="18" x14ac:dyDescent="0.35">
      <c r="A235" s="54">
        <f>'Guru Kirpa Customer Form'!A195</f>
        <v>0</v>
      </c>
      <c r="B235" s="54">
        <f>'Guru Kirpa Customer Form'!B195</f>
        <v>0</v>
      </c>
      <c r="C235" s="54">
        <f>'Guru Kirpa Customer Form'!D195</f>
        <v>0</v>
      </c>
    </row>
    <row r="236" spans="1:3" ht="18" x14ac:dyDescent="0.35">
      <c r="A236" s="54">
        <f>'Guru Kirpa Customer Form'!A196</f>
        <v>0</v>
      </c>
      <c r="B236" s="54">
        <f>'Guru Kirpa Customer Form'!B196</f>
        <v>0</v>
      </c>
      <c r="C236" s="54">
        <f>'Guru Kirpa Customer Form'!D196</f>
        <v>0</v>
      </c>
    </row>
    <row r="237" spans="1:3" ht="18" x14ac:dyDescent="0.35">
      <c r="A237" s="54">
        <f>'Guru Kirpa Customer Form'!A197</f>
        <v>0</v>
      </c>
      <c r="B237" s="54">
        <f>'Guru Kirpa Customer Form'!B197</f>
        <v>0</v>
      </c>
      <c r="C237" s="54">
        <f>'Guru Kirpa Customer Form'!D197</f>
        <v>0</v>
      </c>
    </row>
    <row r="238" spans="1:3" ht="18" x14ac:dyDescent="0.35">
      <c r="A238" s="54">
        <f>'Guru Kirpa Customer Form'!A198</f>
        <v>0</v>
      </c>
      <c r="B238" s="54">
        <f>'Guru Kirpa Customer Form'!B198</f>
        <v>0</v>
      </c>
      <c r="C238" s="54">
        <f>'Guru Kirpa Customer Form'!D198</f>
        <v>0</v>
      </c>
    </row>
    <row r="239" spans="1:3" ht="18" x14ac:dyDescent="0.35">
      <c r="A239" s="54">
        <f>'Guru Kirpa Customer Form'!A199</f>
        <v>0</v>
      </c>
      <c r="B239" s="54">
        <f>'Guru Kirpa Customer Form'!B199</f>
        <v>0</v>
      </c>
      <c r="C239" s="54">
        <f>'Guru Kirpa Customer Form'!D199</f>
        <v>0</v>
      </c>
    </row>
    <row r="240" spans="1:3" ht="18" x14ac:dyDescent="0.35">
      <c r="A240" s="54">
        <f>'Guru Kirpa Customer Form'!A200</f>
        <v>0</v>
      </c>
      <c r="B240" s="54">
        <f>'Guru Kirpa Customer Form'!B200</f>
        <v>0</v>
      </c>
      <c r="C240" s="54">
        <f>'Guru Kirpa Customer Form'!D200</f>
        <v>0</v>
      </c>
    </row>
    <row r="241" spans="1:3" ht="18" x14ac:dyDescent="0.35">
      <c r="A241" s="54">
        <f>'Guru Kirpa Customer Form'!A201</f>
        <v>0</v>
      </c>
      <c r="B241" s="54">
        <f>'Guru Kirpa Customer Form'!B201</f>
        <v>0</v>
      </c>
      <c r="C241" s="54">
        <f>'Guru Kirpa Customer Form'!D201</f>
        <v>0</v>
      </c>
    </row>
    <row r="242" spans="1:3" ht="18" x14ac:dyDescent="0.35">
      <c r="A242" s="54">
        <f>'Guru Kirpa Customer Form'!A202</f>
        <v>0</v>
      </c>
      <c r="B242" s="54">
        <f>'Guru Kirpa Customer Form'!B202</f>
        <v>0</v>
      </c>
      <c r="C242" s="54">
        <f>'Guru Kirpa Customer Form'!D202</f>
        <v>0</v>
      </c>
    </row>
    <row r="243" spans="1:3" ht="18" x14ac:dyDescent="0.35">
      <c r="A243" s="54">
        <f>'Guru Kirpa Customer Form'!A203</f>
        <v>0</v>
      </c>
      <c r="B243" s="54">
        <f>'Guru Kirpa Customer Form'!B203</f>
        <v>0</v>
      </c>
      <c r="C243" s="54">
        <f>'Guru Kirpa Customer Form'!D203</f>
        <v>0</v>
      </c>
    </row>
    <row r="244" spans="1:3" ht="18" x14ac:dyDescent="0.35">
      <c r="A244" s="54">
        <f>'Guru Kirpa Customer Form'!A204</f>
        <v>0</v>
      </c>
      <c r="B244" s="54">
        <f>'Guru Kirpa Customer Form'!B204</f>
        <v>0</v>
      </c>
      <c r="C244" s="54">
        <f>'Guru Kirpa Customer Form'!D204</f>
        <v>0</v>
      </c>
    </row>
    <row r="245" spans="1:3" ht="18" x14ac:dyDescent="0.35">
      <c r="A245" s="54">
        <f>'Guru Kirpa Customer Form'!A205</f>
        <v>0</v>
      </c>
      <c r="B245" s="54">
        <f>'Guru Kirpa Customer Form'!B205</f>
        <v>0</v>
      </c>
      <c r="C245" s="54">
        <f>'Guru Kirpa Customer Form'!D205</f>
        <v>0</v>
      </c>
    </row>
    <row r="246" spans="1:3" ht="18" x14ac:dyDescent="0.35">
      <c r="A246" s="54">
        <f>'Guru Kirpa Customer Form'!A206</f>
        <v>0</v>
      </c>
      <c r="B246" s="54">
        <f>'Guru Kirpa Customer Form'!B206</f>
        <v>0</v>
      </c>
      <c r="C246" s="54">
        <f>'Guru Kirpa Customer Form'!D206</f>
        <v>0</v>
      </c>
    </row>
    <row r="247" spans="1:3" ht="18" x14ac:dyDescent="0.35">
      <c r="A247" s="54">
        <f>'Guru Kirpa Customer Form'!A207</f>
        <v>0</v>
      </c>
      <c r="B247" s="54">
        <f>'Guru Kirpa Customer Form'!B207</f>
        <v>0</v>
      </c>
      <c r="C247" s="54">
        <f>'Guru Kirpa Customer Form'!D207</f>
        <v>0</v>
      </c>
    </row>
    <row r="248" spans="1:3" ht="18" x14ac:dyDescent="0.35">
      <c r="A248" s="54">
        <f>'Guru Kirpa Customer Form'!A208</f>
        <v>0</v>
      </c>
      <c r="B248" s="54">
        <f>'Guru Kirpa Customer Form'!B208</f>
        <v>0</v>
      </c>
      <c r="C248" s="54">
        <f>'Guru Kirpa Customer Form'!D208</f>
        <v>0</v>
      </c>
    </row>
    <row r="249" spans="1:3" ht="18" x14ac:dyDescent="0.35">
      <c r="A249" s="54">
        <f>'Guru Kirpa Customer Form'!A209</f>
        <v>0</v>
      </c>
      <c r="B249" s="54">
        <f>'Guru Kirpa Customer Form'!B209</f>
        <v>0</v>
      </c>
      <c r="C249" s="54">
        <f>'Guru Kirpa Customer Form'!D209</f>
        <v>0</v>
      </c>
    </row>
    <row r="250" spans="1:3" ht="18" x14ac:dyDescent="0.35">
      <c r="A250" s="54">
        <f>'Guru Kirpa Customer Form'!A210</f>
        <v>0</v>
      </c>
      <c r="B250" s="54">
        <f>'Guru Kirpa Customer Form'!B210</f>
        <v>0</v>
      </c>
      <c r="C250" s="54">
        <f>'Guru Kirpa Customer Form'!D210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2DD82-6928-4AB9-9658-5FC259FDB742}">
  <sheetPr codeName="Sheet5"/>
  <dimension ref="A1:F288"/>
  <sheetViews>
    <sheetView topLeftCell="A23" workbookViewId="0">
      <selection activeCell="B46" sqref="B46"/>
    </sheetView>
  </sheetViews>
  <sheetFormatPr defaultRowHeight="14.4" x14ac:dyDescent="0.3"/>
  <cols>
    <col min="1" max="1" width="55.33203125" customWidth="1"/>
    <col min="2" max="2" width="33.5546875" customWidth="1"/>
    <col min="3" max="3" width="49.88671875" customWidth="1"/>
    <col min="4" max="4" width="41.88671875" customWidth="1"/>
    <col min="5" max="5" width="26.109375" customWidth="1"/>
    <col min="6" max="6" width="10.33203125" customWidth="1"/>
    <col min="7" max="7" width="42.109375" customWidth="1"/>
    <col min="8" max="8" width="27.77734375" customWidth="1"/>
  </cols>
  <sheetData>
    <row r="1" spans="1:6" ht="21" x14ac:dyDescent="0.4">
      <c r="A1" s="54" t="s">
        <v>42</v>
      </c>
      <c r="B1" s="55" t="s">
        <v>130</v>
      </c>
      <c r="C1" s="54" t="s">
        <v>42</v>
      </c>
      <c r="D1" s="54" t="s">
        <v>188</v>
      </c>
      <c r="E1" s="1"/>
      <c r="F1" s="1"/>
    </row>
    <row r="2" spans="1:6" ht="18" x14ac:dyDescent="0.35">
      <c r="A2" s="54" t="s">
        <v>47</v>
      </c>
      <c r="B2" s="55" t="s">
        <v>131</v>
      </c>
      <c r="C2" s="54" t="s">
        <v>47</v>
      </c>
      <c r="D2" s="54" t="s">
        <v>188</v>
      </c>
    </row>
    <row r="3" spans="1:6" ht="18" x14ac:dyDescent="0.35">
      <c r="A3" s="54" t="s">
        <v>48</v>
      </c>
      <c r="B3" s="55" t="s">
        <v>101</v>
      </c>
      <c r="C3" s="54" t="s">
        <v>48</v>
      </c>
      <c r="D3" s="54" t="s">
        <v>188</v>
      </c>
    </row>
    <row r="4" spans="1:6" ht="18" x14ac:dyDescent="0.35">
      <c r="A4" s="54" t="s">
        <v>49</v>
      </c>
      <c r="B4" s="55" t="s">
        <v>132</v>
      </c>
      <c r="C4" s="54" t="s">
        <v>49</v>
      </c>
      <c r="D4" s="54" t="s">
        <v>188</v>
      </c>
    </row>
    <row r="5" spans="1:6" ht="18" x14ac:dyDescent="0.35">
      <c r="A5" s="54" t="s">
        <v>50</v>
      </c>
      <c r="B5" s="55" t="s">
        <v>102</v>
      </c>
      <c r="C5" s="54" t="s">
        <v>50</v>
      </c>
      <c r="D5" s="54" t="s">
        <v>188</v>
      </c>
    </row>
    <row r="6" spans="1:6" ht="18" x14ac:dyDescent="0.35">
      <c r="A6" s="54" t="s">
        <v>51</v>
      </c>
      <c r="B6" s="55" t="s">
        <v>103</v>
      </c>
      <c r="C6" s="54" t="s">
        <v>51</v>
      </c>
      <c r="D6" s="54" t="s">
        <v>188</v>
      </c>
    </row>
    <row r="7" spans="1:6" ht="18" x14ac:dyDescent="0.35">
      <c r="A7" s="54" t="s">
        <v>52</v>
      </c>
      <c r="B7" s="55" t="s">
        <v>133</v>
      </c>
      <c r="C7" s="54" t="s">
        <v>52</v>
      </c>
      <c r="D7" s="54" t="s">
        <v>188</v>
      </c>
    </row>
    <row r="8" spans="1:6" ht="18" x14ac:dyDescent="0.35">
      <c r="A8" s="54" t="s">
        <v>53</v>
      </c>
      <c r="B8" s="55" t="s">
        <v>104</v>
      </c>
      <c r="C8" s="54" t="s">
        <v>53</v>
      </c>
      <c r="D8" s="54" t="s">
        <v>188</v>
      </c>
    </row>
    <row r="9" spans="1:6" ht="18" x14ac:dyDescent="0.35">
      <c r="A9" s="54" t="s">
        <v>54</v>
      </c>
      <c r="B9" s="55" t="s">
        <v>105</v>
      </c>
      <c r="C9" s="54" t="s">
        <v>54</v>
      </c>
      <c r="D9" s="54" t="s">
        <v>188</v>
      </c>
    </row>
    <row r="10" spans="1:6" ht="18" x14ac:dyDescent="0.35">
      <c r="A10" s="54" t="s">
        <v>21</v>
      </c>
      <c r="B10" s="55" t="s">
        <v>106</v>
      </c>
      <c r="C10" s="54" t="s">
        <v>21</v>
      </c>
      <c r="D10" s="54" t="s">
        <v>138</v>
      </c>
    </row>
    <row r="11" spans="1:6" ht="18" x14ac:dyDescent="0.35">
      <c r="A11" s="54" t="s">
        <v>55</v>
      </c>
      <c r="B11" s="55" t="s">
        <v>107</v>
      </c>
      <c r="C11" s="54" t="s">
        <v>55</v>
      </c>
      <c r="D11" s="54" t="s">
        <v>137</v>
      </c>
    </row>
    <row r="12" spans="1:6" ht="18" x14ac:dyDescent="0.35">
      <c r="A12" s="54" t="s">
        <v>56</v>
      </c>
      <c r="B12" s="55" t="s">
        <v>108</v>
      </c>
      <c r="C12" s="54" t="s">
        <v>56</v>
      </c>
      <c r="D12" s="54" t="s">
        <v>188</v>
      </c>
    </row>
    <row r="13" spans="1:6" ht="18" x14ac:dyDescent="0.35">
      <c r="A13" s="54" t="s">
        <v>157</v>
      </c>
      <c r="B13" s="55" t="s">
        <v>109</v>
      </c>
      <c r="C13" s="54" t="s">
        <v>157</v>
      </c>
      <c r="D13" s="54" t="s">
        <v>188</v>
      </c>
    </row>
    <row r="14" spans="1:6" ht="18" x14ac:dyDescent="0.35">
      <c r="A14" s="54" t="s">
        <v>57</v>
      </c>
      <c r="B14" s="55" t="s">
        <v>110</v>
      </c>
      <c r="C14" s="54" t="s">
        <v>57</v>
      </c>
      <c r="D14" s="54" t="s">
        <v>188</v>
      </c>
    </row>
    <row r="15" spans="1:6" ht="18" x14ac:dyDescent="0.35">
      <c r="A15" s="54" t="s">
        <v>58</v>
      </c>
      <c r="B15" s="55" t="s">
        <v>134</v>
      </c>
      <c r="C15" s="54" t="s">
        <v>58</v>
      </c>
      <c r="D15" s="54" t="s">
        <v>188</v>
      </c>
    </row>
    <row r="16" spans="1:6" ht="18" x14ac:dyDescent="0.35">
      <c r="A16" s="54" t="s">
        <v>59</v>
      </c>
      <c r="B16" s="55" t="s">
        <v>135</v>
      </c>
      <c r="C16" s="54" t="s">
        <v>59</v>
      </c>
      <c r="D16" s="54" t="s">
        <v>188</v>
      </c>
    </row>
    <row r="17" spans="1:4" ht="18" x14ac:dyDescent="0.35">
      <c r="A17" s="54" t="s">
        <v>13</v>
      </c>
      <c r="B17" s="55" t="s">
        <v>111</v>
      </c>
      <c r="C17" s="54" t="s">
        <v>13</v>
      </c>
      <c r="D17" s="54" t="s">
        <v>188</v>
      </c>
    </row>
    <row r="18" spans="1:4" ht="18" x14ac:dyDescent="0.35">
      <c r="A18" s="54" t="s">
        <v>60</v>
      </c>
      <c r="B18" s="55" t="s">
        <v>112</v>
      </c>
      <c r="C18" s="54" t="s">
        <v>60</v>
      </c>
      <c r="D18" s="54" t="s">
        <v>138</v>
      </c>
    </row>
    <row r="19" spans="1:4" ht="18" x14ac:dyDescent="0.35">
      <c r="A19" s="54" t="s">
        <v>9</v>
      </c>
      <c r="B19" s="55" t="s">
        <v>114</v>
      </c>
      <c r="C19" s="54" t="s">
        <v>9</v>
      </c>
      <c r="D19" s="54" t="s">
        <v>188</v>
      </c>
    </row>
    <row r="20" spans="1:4" ht="18" x14ac:dyDescent="0.35">
      <c r="A20" s="54" t="s">
        <v>11</v>
      </c>
      <c r="B20" s="55" t="s">
        <v>113</v>
      </c>
      <c r="C20" s="54" t="s">
        <v>11</v>
      </c>
      <c r="D20" s="54" t="s">
        <v>188</v>
      </c>
    </row>
    <row r="21" spans="1:4" ht="18" x14ac:dyDescent="0.35">
      <c r="A21" s="54" t="s">
        <v>13</v>
      </c>
      <c r="B21" s="55" t="s">
        <v>111</v>
      </c>
      <c r="C21" s="54" t="s">
        <v>13</v>
      </c>
      <c r="D21" s="54" t="s">
        <v>188</v>
      </c>
    </row>
    <row r="22" spans="1:4" ht="18" x14ac:dyDescent="0.35">
      <c r="A22" s="54" t="s">
        <v>15</v>
      </c>
      <c r="B22" s="55" t="s">
        <v>115</v>
      </c>
      <c r="C22" s="54" t="s">
        <v>15</v>
      </c>
      <c r="D22" s="54" t="s">
        <v>188</v>
      </c>
    </row>
    <row r="23" spans="1:4" ht="18" x14ac:dyDescent="0.35">
      <c r="A23" s="54" t="s">
        <v>17</v>
      </c>
      <c r="B23" s="56" t="s">
        <v>116</v>
      </c>
      <c r="C23" s="54" t="s">
        <v>17</v>
      </c>
      <c r="D23" s="54" t="s">
        <v>188</v>
      </c>
    </row>
    <row r="24" spans="1:4" ht="18" x14ac:dyDescent="0.35">
      <c r="A24" s="54" t="s">
        <v>19</v>
      </c>
      <c r="B24" s="55" t="s">
        <v>117</v>
      </c>
      <c r="C24" s="54" t="s">
        <v>19</v>
      </c>
      <c r="D24" s="54" t="s">
        <v>188</v>
      </c>
    </row>
    <row r="25" spans="1:4" ht="18" x14ac:dyDescent="0.35">
      <c r="A25" s="54" t="s">
        <v>21</v>
      </c>
      <c r="B25" s="55" t="s">
        <v>118</v>
      </c>
      <c r="C25" s="54" t="s">
        <v>21</v>
      </c>
      <c r="D25" s="54" t="s">
        <v>188</v>
      </c>
    </row>
    <row r="26" spans="1:4" ht="18" x14ac:dyDescent="0.35">
      <c r="A26" s="54" t="s">
        <v>22</v>
      </c>
      <c r="B26" s="55" t="s">
        <v>119</v>
      </c>
      <c r="C26" s="54" t="s">
        <v>22</v>
      </c>
      <c r="D26" s="54" t="s">
        <v>188</v>
      </c>
    </row>
    <row r="27" spans="1:4" ht="18" x14ac:dyDescent="0.35">
      <c r="A27" s="54" t="s">
        <v>23</v>
      </c>
      <c r="B27" s="55" t="s">
        <v>120</v>
      </c>
      <c r="C27" s="54" t="s">
        <v>23</v>
      </c>
      <c r="D27" s="54" t="s">
        <v>188</v>
      </c>
    </row>
    <row r="28" spans="1:4" ht="18" x14ac:dyDescent="0.35">
      <c r="A28" s="54" t="s">
        <v>25</v>
      </c>
      <c r="B28" s="55" t="s">
        <v>121</v>
      </c>
      <c r="C28" s="54" t="s">
        <v>25</v>
      </c>
      <c r="D28" s="54" t="s">
        <v>188</v>
      </c>
    </row>
    <row r="29" spans="1:4" ht="18" x14ac:dyDescent="0.35">
      <c r="A29" s="54" t="s">
        <v>27</v>
      </c>
      <c r="B29" s="55" t="s">
        <v>122</v>
      </c>
      <c r="C29" s="54" t="s">
        <v>27</v>
      </c>
      <c r="D29" s="54" t="s">
        <v>188</v>
      </c>
    </row>
    <row r="30" spans="1:4" ht="18" x14ac:dyDescent="0.35">
      <c r="A30" s="54" t="s">
        <v>29</v>
      </c>
      <c r="B30" s="55" t="s">
        <v>123</v>
      </c>
      <c r="C30" s="54" t="s">
        <v>29</v>
      </c>
      <c r="D30" s="54" t="s">
        <v>188</v>
      </c>
    </row>
    <row r="31" spans="1:4" ht="18" x14ac:dyDescent="0.35">
      <c r="A31" s="54" t="s">
        <v>61</v>
      </c>
      <c r="B31" s="55" t="s">
        <v>124</v>
      </c>
      <c r="C31" s="54" t="s">
        <v>61</v>
      </c>
      <c r="D31" s="54" t="s">
        <v>188</v>
      </c>
    </row>
    <row r="32" spans="1:4" ht="18" x14ac:dyDescent="0.35">
      <c r="A32" s="54" t="s">
        <v>62</v>
      </c>
      <c r="B32" s="55" t="s">
        <v>125</v>
      </c>
      <c r="C32" s="54" t="s">
        <v>62</v>
      </c>
      <c r="D32" s="54" t="s">
        <v>136</v>
      </c>
    </row>
    <row r="33" spans="1:4" ht="18" x14ac:dyDescent="0.35">
      <c r="A33" s="54" t="s">
        <v>31</v>
      </c>
      <c r="B33" s="55" t="s">
        <v>126</v>
      </c>
      <c r="C33" s="54" t="s">
        <v>31</v>
      </c>
      <c r="D33" s="54" t="s">
        <v>137</v>
      </c>
    </row>
    <row r="34" spans="1:4" ht="18" x14ac:dyDescent="0.35">
      <c r="A34" s="54" t="s">
        <v>32</v>
      </c>
      <c r="B34" s="55" t="s">
        <v>127</v>
      </c>
      <c r="C34" s="54" t="s">
        <v>32</v>
      </c>
      <c r="D34" s="54" t="s">
        <v>188</v>
      </c>
    </row>
    <row r="35" spans="1:4" ht="18" x14ac:dyDescent="0.35">
      <c r="A35" s="54" t="s">
        <v>35</v>
      </c>
      <c r="B35" s="55" t="s">
        <v>128</v>
      </c>
      <c r="C35" s="54" t="s">
        <v>35</v>
      </c>
      <c r="D35" s="54" t="s">
        <v>188</v>
      </c>
    </row>
    <row r="36" spans="1:4" ht="18" x14ac:dyDescent="0.35">
      <c r="A36" s="54" t="s">
        <v>37</v>
      </c>
      <c r="B36" s="55" t="s">
        <v>129</v>
      </c>
      <c r="C36" s="54" t="s">
        <v>37</v>
      </c>
      <c r="D36" s="54" t="s">
        <v>188</v>
      </c>
    </row>
    <row r="37" spans="1:4" ht="18" x14ac:dyDescent="0.35">
      <c r="A37" s="54" t="s">
        <v>158</v>
      </c>
      <c r="B37" s="55" t="s">
        <v>159</v>
      </c>
      <c r="C37" s="54" t="s">
        <v>158</v>
      </c>
      <c r="D37" s="54" t="s">
        <v>160</v>
      </c>
    </row>
    <row r="38" spans="1:4" ht="18" x14ac:dyDescent="0.35">
      <c r="A38" s="54" t="s">
        <v>162</v>
      </c>
      <c r="B38" s="55" t="s">
        <v>164</v>
      </c>
      <c r="C38" s="54" t="s">
        <v>162</v>
      </c>
      <c r="D38" s="54" t="s">
        <v>188</v>
      </c>
    </row>
    <row r="39" spans="1:4" ht="18" x14ac:dyDescent="0.35">
      <c r="A39" s="54" t="s">
        <v>166</v>
      </c>
      <c r="B39" s="55" t="s">
        <v>168</v>
      </c>
      <c r="C39" s="54" t="s">
        <v>166</v>
      </c>
      <c r="D39" s="54" t="s">
        <v>188</v>
      </c>
    </row>
    <row r="40" spans="1:4" ht="18" x14ac:dyDescent="0.35">
      <c r="A40" s="54" t="s">
        <v>181</v>
      </c>
      <c r="B40" s="55" t="s">
        <v>183</v>
      </c>
      <c r="C40" s="54" t="s">
        <v>181</v>
      </c>
      <c r="D40" s="54" t="s">
        <v>188</v>
      </c>
    </row>
    <row r="41" spans="1:4" ht="18" x14ac:dyDescent="0.35">
      <c r="A41" s="54" t="s">
        <v>185</v>
      </c>
      <c r="B41" s="55" t="s">
        <v>186</v>
      </c>
      <c r="C41" s="54" t="s">
        <v>185</v>
      </c>
      <c r="D41" s="54" t="s">
        <v>188</v>
      </c>
    </row>
    <row r="42" spans="1:4" ht="18" x14ac:dyDescent="0.35">
      <c r="A42" s="54">
        <f>'Guru Kirpa Customer Form'!B2</f>
        <v>0</v>
      </c>
      <c r="B42" s="54" t="str">
        <f>IF('Guru Kirpa Customer Form'!F2&lt;&gt;"","GST No." &amp;'Guru Kirpa Customer Form'!F2,"Adhar No." &amp;'Guru Kirpa Customer Form'!G2)</f>
        <v>Adhar No.</v>
      </c>
      <c r="C42" s="54">
        <f>A42</f>
        <v>0</v>
      </c>
      <c r="D42" s="54" t="str">
        <f>IF('Guru Kirpa Customer Form'!C2="Haryana","State Name:"&amp;" "&amp;"Haryana,Code No."&amp;" "&amp;"0"&amp;'Guru Kirpa Customer Form'!E2,"State Name:"&amp;" "&amp;'Guru Kirpa Customer Form'!C2&amp;",Code No."&amp;" "&amp;"0"&amp; 'Guru Kirpa Customer Form'!E2)</f>
        <v>State Name: ,Code No. 0</v>
      </c>
    </row>
    <row r="43" spans="1:4" ht="18" x14ac:dyDescent="0.35">
      <c r="A43" s="54">
        <f>'Guru Kirpa Customer Form'!B3</f>
        <v>0</v>
      </c>
      <c r="B43" s="54" t="str">
        <f>IF('Guru Kirpa Customer Form'!F3&lt;&gt;"","GST No." &amp;'Guru Kirpa Customer Form'!F3,"Adhar No." &amp;'Guru Kirpa Customer Form'!G3)</f>
        <v>Adhar No.</v>
      </c>
      <c r="C43" s="54">
        <f t="shared" ref="C43:C106" si="0">A43</f>
        <v>0</v>
      </c>
      <c r="D43" s="54" t="str">
        <f>IF('Guru Kirpa Customer Form'!C3="Haryana","State Name:"&amp;" "&amp;"Haryana,Code No."&amp;" "&amp;"0"&amp;'Guru Kirpa Customer Form'!E3,"State Name:"&amp;" "&amp;'Guru Kirpa Customer Form'!C3&amp;",Code No."&amp;" "&amp;"0"&amp; 'Guru Kirpa Customer Form'!E3)</f>
        <v>State Name: ,Code No. 0</v>
      </c>
    </row>
    <row r="44" spans="1:4" ht="18" x14ac:dyDescent="0.35">
      <c r="A44" s="54">
        <f>'Guru Kirpa Customer Form'!B4</f>
        <v>0</v>
      </c>
      <c r="B44" s="54" t="str">
        <f>IFERROR(IF('Guru Kirpa Customer Form'!F4&lt;&gt;"","GST No." &amp;'Guru Kirpa Customer Form'!F4,"Adhar No." &amp;'Guru Kirpa Customer Form'!G4)," ")</f>
        <v>Adhar No.</v>
      </c>
      <c r="C44" s="54">
        <f t="shared" si="0"/>
        <v>0</v>
      </c>
      <c r="D44" s="54" t="str">
        <f>IF('Guru Kirpa Customer Form'!C4="Haryana","State Name:"&amp;" "&amp;"Haryana,Code No."&amp;" "&amp;"0"&amp;'Guru Kirpa Customer Form'!E4,"State Name:"&amp;" "&amp;'Guru Kirpa Customer Form'!C4&amp;",Code No."&amp;" "&amp;"0"&amp; 'Guru Kirpa Customer Form'!E4)</f>
        <v>State Name: ,Code No. 0</v>
      </c>
    </row>
    <row r="45" spans="1:4" ht="18" x14ac:dyDescent="0.35">
      <c r="A45" s="54">
        <f>'Guru Kirpa Customer Form'!B5</f>
        <v>0</v>
      </c>
      <c r="B45" s="54" t="str">
        <f>IF('Guru Kirpa Customer Form'!F5&lt;&gt;"","GST No." &amp;'Guru Kirpa Customer Form'!F5,"Adhar No." &amp;'Guru Kirpa Customer Form'!G5)</f>
        <v>Adhar No.</v>
      </c>
      <c r="C45" s="54">
        <f t="shared" si="0"/>
        <v>0</v>
      </c>
      <c r="D45" s="54" t="str">
        <f>IF('Guru Kirpa Customer Form'!C5="Haryana","State Name:"&amp;" "&amp;"Haryana,Code No."&amp;" "&amp;"0"&amp;'Guru Kirpa Customer Form'!E5,"State Name:"&amp;" "&amp;'Guru Kirpa Customer Form'!C5&amp;",Code No."&amp;" "&amp;"0"&amp; 'Guru Kirpa Customer Form'!E5)</f>
        <v>State Name: ,Code No. 0</v>
      </c>
    </row>
    <row r="46" spans="1:4" ht="18" x14ac:dyDescent="0.35">
      <c r="A46" s="54">
        <f>'Guru Kirpa Customer Form'!B6</f>
        <v>0</v>
      </c>
      <c r="B46" s="54" t="str">
        <f>IF('Guru Kirpa Customer Form'!F6&lt;&gt;"","GST No." &amp;'Guru Kirpa Customer Form'!F6,"Adhar No." &amp;'Guru Kirpa Customer Form'!G6)</f>
        <v>Adhar No.</v>
      </c>
      <c r="C46" s="54">
        <f t="shared" si="0"/>
        <v>0</v>
      </c>
      <c r="D46" s="54" t="str">
        <f>IF('Guru Kirpa Customer Form'!C6="Haryana","State Name:"&amp;" "&amp;"Haryana,Code No."&amp;" "&amp;"0"&amp;'Guru Kirpa Customer Form'!E6,"State Name:"&amp;" "&amp;'Guru Kirpa Customer Form'!C6&amp;",Code No."&amp;" "&amp;"0"&amp; 'Guru Kirpa Customer Form'!E6)</f>
        <v>State Name: ,Code No. 0</v>
      </c>
    </row>
    <row r="47" spans="1:4" ht="18" x14ac:dyDescent="0.35">
      <c r="A47" s="54">
        <f>'Guru Kirpa Customer Form'!B7</f>
        <v>0</v>
      </c>
      <c r="B47" s="54" t="str">
        <f>IF('Guru Kirpa Customer Form'!F7&lt;&gt;"","GST No." &amp;'Guru Kirpa Customer Form'!F7,"Adhar No." &amp;'Guru Kirpa Customer Form'!G7)</f>
        <v>Adhar No.</v>
      </c>
      <c r="C47" s="54">
        <f t="shared" si="0"/>
        <v>0</v>
      </c>
      <c r="D47" s="54" t="str">
        <f>IF('Guru Kirpa Customer Form'!C7="Haryana","State Name:"&amp;" "&amp;"Haryana,Code No."&amp;" "&amp;"0"&amp;'Guru Kirpa Customer Form'!E7,"State Name:"&amp;" "&amp;'Guru Kirpa Customer Form'!C7&amp;",Code No."&amp;" "&amp;"0"&amp; 'Guru Kirpa Customer Form'!E7)</f>
        <v>State Name: ,Code No. 0</v>
      </c>
    </row>
    <row r="48" spans="1:4" ht="18" x14ac:dyDescent="0.35">
      <c r="A48" s="54">
        <f>'Guru Kirpa Customer Form'!B8</f>
        <v>0</v>
      </c>
      <c r="B48" s="54" t="str">
        <f>IF('Guru Kirpa Customer Form'!F8&lt;&gt;"","GST No." &amp;'Guru Kirpa Customer Form'!F8,"Adhar No." &amp;'Guru Kirpa Customer Form'!G8)</f>
        <v>Adhar No.</v>
      </c>
      <c r="C48" s="54">
        <f t="shared" si="0"/>
        <v>0</v>
      </c>
      <c r="D48" s="54" t="str">
        <f>IF('Guru Kirpa Customer Form'!C8="Haryana","State Name:"&amp;" "&amp;"Haryana,Code No."&amp;" "&amp;"0"&amp;'Guru Kirpa Customer Form'!E8,"State Name:"&amp;" "&amp;'Guru Kirpa Customer Form'!C8&amp;",Code No."&amp;" "&amp;"0"&amp; 'Guru Kirpa Customer Form'!E8)</f>
        <v>State Name: ,Code No. 0</v>
      </c>
    </row>
    <row r="49" spans="1:4" ht="18" x14ac:dyDescent="0.35">
      <c r="A49" s="54">
        <f>'Guru Kirpa Customer Form'!B9</f>
        <v>0</v>
      </c>
      <c r="B49" s="54" t="str">
        <f>IF('Guru Kirpa Customer Form'!F9&lt;&gt;"","GST No." &amp;'Guru Kirpa Customer Form'!F9,"Adhar No." &amp;'Guru Kirpa Customer Form'!G9)</f>
        <v>Adhar No.</v>
      </c>
      <c r="C49" s="54">
        <f t="shared" si="0"/>
        <v>0</v>
      </c>
      <c r="D49" s="54" t="str">
        <f>IF('Guru Kirpa Customer Form'!C9="Haryana","State Name:"&amp;" "&amp;"Haryana,Code No."&amp;" "&amp;"0"&amp;'Guru Kirpa Customer Form'!E9,"State Name:"&amp;" "&amp;'Guru Kirpa Customer Form'!C9&amp;",Code No."&amp;" "&amp;"0"&amp; 'Guru Kirpa Customer Form'!E9)</f>
        <v>State Name: ,Code No. 0</v>
      </c>
    </row>
    <row r="50" spans="1:4" ht="18" x14ac:dyDescent="0.35">
      <c r="A50" s="54">
        <f>'Guru Kirpa Customer Form'!B10</f>
        <v>0</v>
      </c>
      <c r="B50" s="54" t="str">
        <f>IF('Guru Kirpa Customer Form'!F10&lt;&gt;"","GST No." &amp;'Guru Kirpa Customer Form'!F10,"Adhar No." &amp;'Guru Kirpa Customer Form'!G10)</f>
        <v>Adhar No.</v>
      </c>
      <c r="C50" s="54">
        <f t="shared" si="0"/>
        <v>0</v>
      </c>
      <c r="D50" s="54" t="str">
        <f>IF('Guru Kirpa Customer Form'!C10="Haryana","State Name:"&amp;" "&amp;"Haryana,Code No."&amp;" "&amp;"0"&amp;'Guru Kirpa Customer Form'!E10,"State Name:"&amp;" "&amp;'Guru Kirpa Customer Form'!C10&amp;",Code No."&amp;" "&amp;"0"&amp; 'Guru Kirpa Customer Form'!E10)</f>
        <v>State Name: ,Code No. 0</v>
      </c>
    </row>
    <row r="51" spans="1:4" ht="18" x14ac:dyDescent="0.35">
      <c r="A51" s="54">
        <f>'Guru Kirpa Customer Form'!B11</f>
        <v>0</v>
      </c>
      <c r="B51" s="54" t="str">
        <f>IF('Guru Kirpa Customer Form'!F11&lt;&gt;"","GST No." &amp;'Guru Kirpa Customer Form'!F11,"Adhar No." &amp;'Guru Kirpa Customer Form'!G11)</f>
        <v>Adhar No.</v>
      </c>
      <c r="C51" s="54">
        <f t="shared" si="0"/>
        <v>0</v>
      </c>
      <c r="D51" s="54" t="str">
        <f>IF('Guru Kirpa Customer Form'!C11="Haryana","State Name:"&amp;" "&amp;"Haryana,Code No."&amp;" "&amp;"0"&amp;'Guru Kirpa Customer Form'!E11,"State Name:"&amp;" "&amp;'Guru Kirpa Customer Form'!C11&amp;",Code No."&amp;" "&amp;"0"&amp; 'Guru Kirpa Customer Form'!E11)</f>
        <v>State Name: ,Code No. 0</v>
      </c>
    </row>
    <row r="52" spans="1:4" ht="18" x14ac:dyDescent="0.35">
      <c r="A52" s="54">
        <f>'Guru Kirpa Customer Form'!B12</f>
        <v>0</v>
      </c>
      <c r="B52" s="54" t="str">
        <f>IF('Guru Kirpa Customer Form'!F12&lt;&gt;"","GST No." &amp;'Guru Kirpa Customer Form'!F12,"Adhar No." &amp;'Guru Kirpa Customer Form'!G12)</f>
        <v>Adhar No.</v>
      </c>
      <c r="C52" s="54">
        <f t="shared" si="0"/>
        <v>0</v>
      </c>
      <c r="D52" s="54" t="str">
        <f>IF('Guru Kirpa Customer Form'!C12="Haryana","State Name:"&amp;" "&amp;"Haryana,Code No."&amp;" "&amp;"0"&amp;'Guru Kirpa Customer Form'!E12,"State Name:"&amp;" "&amp;'Guru Kirpa Customer Form'!C12&amp;",Code No."&amp;" "&amp;"0"&amp; 'Guru Kirpa Customer Form'!E12)</f>
        <v>State Name: ,Code No. 0</v>
      </c>
    </row>
    <row r="53" spans="1:4" ht="18" x14ac:dyDescent="0.35">
      <c r="A53" s="54">
        <f>'Guru Kirpa Customer Form'!B13</f>
        <v>0</v>
      </c>
      <c r="B53" s="54" t="str">
        <f>IF('Guru Kirpa Customer Form'!F13&lt;&gt;"","GST No." &amp;'Guru Kirpa Customer Form'!F13,"Adhar No." &amp;'Guru Kirpa Customer Form'!G13)</f>
        <v>Adhar No.</v>
      </c>
      <c r="C53" s="54">
        <f t="shared" si="0"/>
        <v>0</v>
      </c>
      <c r="D53" s="54" t="str">
        <f>IF('Guru Kirpa Customer Form'!C13="Haryana","State Name:"&amp;" "&amp;"Haryana,Code No."&amp;" "&amp;"0"&amp;'Guru Kirpa Customer Form'!E13,"State Name:"&amp;" "&amp;'Guru Kirpa Customer Form'!C13&amp;",Code No."&amp;" "&amp;"0"&amp; 'Guru Kirpa Customer Form'!E13)</f>
        <v>State Name: ,Code No. 0</v>
      </c>
    </row>
    <row r="54" spans="1:4" ht="18" x14ac:dyDescent="0.35">
      <c r="A54" s="54">
        <f>'Guru Kirpa Customer Form'!B14</f>
        <v>0</v>
      </c>
      <c r="B54" s="54" t="str">
        <f>IF('Guru Kirpa Customer Form'!F14&lt;&gt;"","GST No." &amp;'Guru Kirpa Customer Form'!F14,"Adhar No." &amp;'Guru Kirpa Customer Form'!G14)</f>
        <v>Adhar No.</v>
      </c>
      <c r="C54" s="54">
        <f t="shared" si="0"/>
        <v>0</v>
      </c>
      <c r="D54" s="54" t="str">
        <f>IF('Guru Kirpa Customer Form'!C14="Haryana","State Name:"&amp;" "&amp;"Haryana,Code No."&amp;" "&amp;"0"&amp;'Guru Kirpa Customer Form'!E14,"State Name:"&amp;" "&amp;'Guru Kirpa Customer Form'!C14&amp;",Code No."&amp;" "&amp;"0"&amp; 'Guru Kirpa Customer Form'!E14)</f>
        <v>State Name: ,Code No. 0</v>
      </c>
    </row>
    <row r="55" spans="1:4" ht="18" x14ac:dyDescent="0.35">
      <c r="A55" s="54">
        <f>'Guru Kirpa Customer Form'!B15</f>
        <v>0</v>
      </c>
      <c r="B55" s="54" t="str">
        <f>IF('Guru Kirpa Customer Form'!F15&lt;&gt;"","GST No." &amp;'Guru Kirpa Customer Form'!F15,"Adhar No." &amp;'Guru Kirpa Customer Form'!G15)</f>
        <v>Adhar No.</v>
      </c>
      <c r="C55" s="54">
        <f t="shared" si="0"/>
        <v>0</v>
      </c>
      <c r="D55" s="54" t="str">
        <f>IF('Guru Kirpa Customer Form'!C15="Haryana","State Name:"&amp;" "&amp;"Haryana,Code No."&amp;" "&amp;"0"&amp;'Guru Kirpa Customer Form'!E15,"State Name:"&amp;" "&amp;'Guru Kirpa Customer Form'!C15&amp;",Code No."&amp;" "&amp;"0"&amp; 'Guru Kirpa Customer Form'!E15)</f>
        <v>State Name: ,Code No. 0</v>
      </c>
    </row>
    <row r="56" spans="1:4" ht="18" x14ac:dyDescent="0.35">
      <c r="A56" s="54">
        <f>'Guru Kirpa Customer Form'!B16</f>
        <v>0</v>
      </c>
      <c r="B56" s="54" t="str">
        <f>IF('Guru Kirpa Customer Form'!F16&lt;&gt;"","GST No." &amp;'Guru Kirpa Customer Form'!F16,"Adhar No." &amp;'Guru Kirpa Customer Form'!G16)</f>
        <v>Adhar No.</v>
      </c>
      <c r="C56" s="54">
        <f t="shared" si="0"/>
        <v>0</v>
      </c>
      <c r="D56" s="54" t="str">
        <f>IF('Guru Kirpa Customer Form'!C16="Haryana","State Name:"&amp;" "&amp;"Haryana,Code No."&amp;" "&amp;"0"&amp;'Guru Kirpa Customer Form'!E16,"State Name:"&amp;" "&amp;'Guru Kirpa Customer Form'!C16&amp;",Code No."&amp;" "&amp;"0"&amp; 'Guru Kirpa Customer Form'!E16)</f>
        <v>State Name: ,Code No. 0</v>
      </c>
    </row>
    <row r="57" spans="1:4" ht="18" x14ac:dyDescent="0.35">
      <c r="A57" s="54">
        <f>'Guru Kirpa Customer Form'!B17</f>
        <v>0</v>
      </c>
      <c r="B57" s="54" t="str">
        <f>IF('Guru Kirpa Customer Form'!F17&lt;&gt;"","GST No." &amp;'Guru Kirpa Customer Form'!F17,"Adhar No." &amp;'Guru Kirpa Customer Form'!G17)</f>
        <v>Adhar No.</v>
      </c>
      <c r="C57" s="54">
        <f t="shared" si="0"/>
        <v>0</v>
      </c>
      <c r="D57" s="54" t="str">
        <f>IF('Guru Kirpa Customer Form'!C17="Haryana","State Name:"&amp;" "&amp;"Haryana,Code No."&amp;" "&amp;"0"&amp;'Guru Kirpa Customer Form'!E17,"State Name:"&amp;" "&amp;'Guru Kirpa Customer Form'!C17&amp;",Code No."&amp;" "&amp;"0"&amp; 'Guru Kirpa Customer Form'!E17)</f>
        <v>State Name: ,Code No. 0</v>
      </c>
    </row>
    <row r="58" spans="1:4" ht="18" x14ac:dyDescent="0.35">
      <c r="A58" s="54">
        <f>'Guru Kirpa Customer Form'!B18</f>
        <v>0</v>
      </c>
      <c r="B58" s="54" t="str">
        <f>IF('Guru Kirpa Customer Form'!F18&lt;&gt;"","GST No." &amp;'Guru Kirpa Customer Form'!F18,"Adhar No." &amp;'Guru Kirpa Customer Form'!G18)</f>
        <v>Adhar No.</v>
      </c>
      <c r="C58" s="54">
        <f t="shared" si="0"/>
        <v>0</v>
      </c>
      <c r="D58" s="54" t="str">
        <f>IF('Guru Kirpa Customer Form'!C18="Haryana","State Name:"&amp;" "&amp;"Haryana,Code No."&amp;" "&amp;"0"&amp;'Guru Kirpa Customer Form'!E18,"State Name:"&amp;" "&amp;'Guru Kirpa Customer Form'!C18&amp;",Code No."&amp;" "&amp;"0"&amp; 'Guru Kirpa Customer Form'!E18)</f>
        <v>State Name: ,Code No. 0</v>
      </c>
    </row>
    <row r="59" spans="1:4" ht="18" x14ac:dyDescent="0.35">
      <c r="A59" s="54">
        <f>'Guru Kirpa Customer Form'!B19</f>
        <v>0</v>
      </c>
      <c r="B59" s="54" t="str">
        <f>IF('Guru Kirpa Customer Form'!F19&lt;&gt;"","GST No." &amp;'Guru Kirpa Customer Form'!F19,"Adhar No." &amp;'Guru Kirpa Customer Form'!G19)</f>
        <v>Adhar No.</v>
      </c>
      <c r="C59" s="54">
        <f t="shared" si="0"/>
        <v>0</v>
      </c>
      <c r="D59" s="54" t="str">
        <f>IF('Guru Kirpa Customer Form'!C19="Haryana","State Name:"&amp;" "&amp;"Haryana,Code No."&amp;" "&amp;"0"&amp;'Guru Kirpa Customer Form'!E19,"State Name:"&amp;" "&amp;'Guru Kirpa Customer Form'!C19&amp;",Code No."&amp;" "&amp;"0"&amp; 'Guru Kirpa Customer Form'!E19)</f>
        <v>State Name: ,Code No. 0</v>
      </c>
    </row>
    <row r="60" spans="1:4" ht="18" x14ac:dyDescent="0.35">
      <c r="A60" s="54">
        <f>'Guru Kirpa Customer Form'!B20</f>
        <v>0</v>
      </c>
      <c r="B60" s="54" t="str">
        <f>IF('Guru Kirpa Customer Form'!F20&lt;&gt;"","GST No." &amp;'Guru Kirpa Customer Form'!F20,"Adhar No." &amp;'Guru Kirpa Customer Form'!G20)</f>
        <v>Adhar No.</v>
      </c>
      <c r="C60" s="54">
        <f t="shared" si="0"/>
        <v>0</v>
      </c>
      <c r="D60" s="54" t="str">
        <f>IF('Guru Kirpa Customer Form'!C20="Haryana","State Name:"&amp;" "&amp;"Haryana,Code No."&amp;" "&amp;"0"&amp;'Guru Kirpa Customer Form'!E20,"State Name:"&amp;" "&amp;'Guru Kirpa Customer Form'!C20&amp;",Code No."&amp;" "&amp;"0"&amp; 'Guru Kirpa Customer Form'!E20)</f>
        <v>State Name: ,Code No. 0</v>
      </c>
    </row>
    <row r="61" spans="1:4" ht="18" x14ac:dyDescent="0.35">
      <c r="A61" s="54">
        <f>'Guru Kirpa Customer Form'!B21</f>
        <v>0</v>
      </c>
      <c r="B61" s="54" t="str">
        <f>IF('Guru Kirpa Customer Form'!F21&lt;&gt;"","GST No." &amp;'Guru Kirpa Customer Form'!F21,"Adhar No." &amp;'Guru Kirpa Customer Form'!G21)</f>
        <v>Adhar No.</v>
      </c>
      <c r="C61" s="54">
        <f t="shared" si="0"/>
        <v>0</v>
      </c>
      <c r="D61" s="54" t="str">
        <f>IF('Guru Kirpa Customer Form'!C21="Haryana","State Name:"&amp;" "&amp;"Haryana,Code No."&amp;" "&amp;"0"&amp;'Guru Kirpa Customer Form'!E21,"State Name:"&amp;" "&amp;'Guru Kirpa Customer Form'!C21&amp;",Code No."&amp;" "&amp;"0"&amp; 'Guru Kirpa Customer Form'!E21)</f>
        <v>State Name: ,Code No. 0</v>
      </c>
    </row>
    <row r="62" spans="1:4" ht="18" x14ac:dyDescent="0.35">
      <c r="A62" s="54">
        <f>'Guru Kirpa Customer Form'!B22</f>
        <v>0</v>
      </c>
      <c r="B62" s="54" t="str">
        <f>IF('Guru Kirpa Customer Form'!F22&lt;&gt;"","GST No." &amp;'Guru Kirpa Customer Form'!F22,"Adhar No." &amp;'Guru Kirpa Customer Form'!G22)</f>
        <v>Adhar No.</v>
      </c>
      <c r="C62" s="54">
        <f t="shared" si="0"/>
        <v>0</v>
      </c>
      <c r="D62" s="54" t="str">
        <f>IF('Guru Kirpa Customer Form'!C22="Haryana","State Name:"&amp;" "&amp;"Haryana,Code No."&amp;" "&amp;"0"&amp;'Guru Kirpa Customer Form'!E22,"State Name:"&amp;" "&amp;'Guru Kirpa Customer Form'!C22&amp;",Code No."&amp;" "&amp;"0"&amp; 'Guru Kirpa Customer Form'!E22)</f>
        <v>State Name: ,Code No. 0</v>
      </c>
    </row>
    <row r="63" spans="1:4" ht="18" x14ac:dyDescent="0.35">
      <c r="A63" s="54">
        <f>'Guru Kirpa Customer Form'!B23</f>
        <v>0</v>
      </c>
      <c r="B63" s="54" t="str">
        <f>IF('Guru Kirpa Customer Form'!F23&lt;&gt;"","GST No." &amp;'Guru Kirpa Customer Form'!F23,"Adhar No." &amp;'Guru Kirpa Customer Form'!G23)</f>
        <v>Adhar No.</v>
      </c>
      <c r="C63" s="54">
        <f t="shared" si="0"/>
        <v>0</v>
      </c>
      <c r="D63" s="54" t="str">
        <f>IF('Guru Kirpa Customer Form'!C23="Haryana","State Name:"&amp;" "&amp;"Haryana,Code No."&amp;" "&amp;"0"&amp;'Guru Kirpa Customer Form'!E23,"State Name:"&amp;" "&amp;'Guru Kirpa Customer Form'!C23&amp;",Code No."&amp;" "&amp;"0"&amp; 'Guru Kirpa Customer Form'!E23)</f>
        <v>State Name: ,Code No. 0</v>
      </c>
    </row>
    <row r="64" spans="1:4" ht="18" x14ac:dyDescent="0.35">
      <c r="A64" s="54">
        <f>'Guru Kirpa Customer Form'!B24</f>
        <v>0</v>
      </c>
      <c r="B64" s="54" t="str">
        <f>IF('Guru Kirpa Customer Form'!F24&lt;&gt;"","GST No." &amp;'Guru Kirpa Customer Form'!F24,"Adhar No." &amp;'Guru Kirpa Customer Form'!G24)</f>
        <v>Adhar No.</v>
      </c>
      <c r="C64" s="54">
        <f t="shared" si="0"/>
        <v>0</v>
      </c>
      <c r="D64" s="54" t="str">
        <f>IF('Guru Kirpa Customer Form'!C24="Haryana","State Name:"&amp;" "&amp;"Haryana,Code No."&amp;" "&amp;"0"&amp;'Guru Kirpa Customer Form'!E24,"State Name:"&amp;" "&amp;'Guru Kirpa Customer Form'!C24&amp;",Code No."&amp;" "&amp;"0"&amp; 'Guru Kirpa Customer Form'!E24)</f>
        <v>State Name: ,Code No. 0</v>
      </c>
    </row>
    <row r="65" spans="1:4" ht="18" x14ac:dyDescent="0.35">
      <c r="A65" s="54">
        <f>'Guru Kirpa Customer Form'!B25</f>
        <v>0</v>
      </c>
      <c r="B65" s="54" t="str">
        <f>IF('Guru Kirpa Customer Form'!F25&lt;&gt;"","GST No." &amp;'Guru Kirpa Customer Form'!F25,"Adhar No." &amp;'Guru Kirpa Customer Form'!G25)</f>
        <v>Adhar No.</v>
      </c>
      <c r="C65" s="54">
        <f t="shared" si="0"/>
        <v>0</v>
      </c>
      <c r="D65" s="54" t="str">
        <f>IF('Guru Kirpa Customer Form'!C25="Haryana","State Name:"&amp;" "&amp;"Haryana,Code No."&amp;" "&amp;"0"&amp;'Guru Kirpa Customer Form'!E25,"State Name:"&amp;" "&amp;'Guru Kirpa Customer Form'!C25&amp;",Code No."&amp;" "&amp;"0"&amp; 'Guru Kirpa Customer Form'!E25)</f>
        <v>State Name: ,Code No. 0</v>
      </c>
    </row>
    <row r="66" spans="1:4" ht="18" x14ac:dyDescent="0.35">
      <c r="A66" s="54">
        <f>'Guru Kirpa Customer Form'!B26</f>
        <v>0</v>
      </c>
      <c r="B66" s="54" t="str">
        <f>IF('Guru Kirpa Customer Form'!F26&lt;&gt;"","GST No." &amp;'Guru Kirpa Customer Form'!F26,"Adhar No." &amp;'Guru Kirpa Customer Form'!G26)</f>
        <v>Adhar No.</v>
      </c>
      <c r="C66" s="54">
        <f t="shared" si="0"/>
        <v>0</v>
      </c>
      <c r="D66" s="54" t="str">
        <f>IF('Guru Kirpa Customer Form'!C26="Haryana","State Name:"&amp;" "&amp;"Haryana,Code No."&amp;" "&amp;"0"&amp;'Guru Kirpa Customer Form'!E26,"State Name:"&amp;" "&amp;'Guru Kirpa Customer Form'!C26&amp;",Code No."&amp;" "&amp;"0"&amp; 'Guru Kirpa Customer Form'!E26)</f>
        <v>State Name: ,Code No. 0</v>
      </c>
    </row>
    <row r="67" spans="1:4" ht="18" x14ac:dyDescent="0.35">
      <c r="A67" s="54">
        <f>'Guru Kirpa Customer Form'!B27</f>
        <v>0</v>
      </c>
      <c r="B67" s="54" t="str">
        <f>IF('Guru Kirpa Customer Form'!F27&lt;&gt;"","GST No." &amp;'Guru Kirpa Customer Form'!F27,"Adhar No." &amp;'Guru Kirpa Customer Form'!G27)</f>
        <v>Adhar No.</v>
      </c>
      <c r="C67" s="54">
        <f t="shared" si="0"/>
        <v>0</v>
      </c>
      <c r="D67" s="54" t="str">
        <f>IF('Guru Kirpa Customer Form'!C27="Haryana","State Name:"&amp;" "&amp;"Haryana,Code No."&amp;" "&amp;"0"&amp;'Guru Kirpa Customer Form'!E27,"State Name:"&amp;" "&amp;'Guru Kirpa Customer Form'!C27&amp;",Code No."&amp;" "&amp;"0"&amp; 'Guru Kirpa Customer Form'!E27)</f>
        <v>State Name: ,Code No. 0</v>
      </c>
    </row>
    <row r="68" spans="1:4" ht="18" x14ac:dyDescent="0.35">
      <c r="A68" s="54">
        <f>'Guru Kirpa Customer Form'!B28</f>
        <v>0</v>
      </c>
      <c r="B68" s="54" t="str">
        <f>IF('Guru Kirpa Customer Form'!F28&lt;&gt;"","GST No." &amp;'Guru Kirpa Customer Form'!F28,"Adhar No." &amp;'Guru Kirpa Customer Form'!G28)</f>
        <v>Adhar No.</v>
      </c>
      <c r="C68" s="54">
        <f t="shared" si="0"/>
        <v>0</v>
      </c>
      <c r="D68" s="54" t="str">
        <f>IF('Guru Kirpa Customer Form'!C28="Haryana","State Name:"&amp;" "&amp;"Haryana,Code No."&amp;" "&amp;"0"&amp;'Guru Kirpa Customer Form'!E28,"State Name:"&amp;" "&amp;'Guru Kirpa Customer Form'!C28&amp;",Code No."&amp;" "&amp;"0"&amp; 'Guru Kirpa Customer Form'!E28)</f>
        <v>State Name: ,Code No. 0</v>
      </c>
    </row>
    <row r="69" spans="1:4" ht="18" x14ac:dyDescent="0.35">
      <c r="A69" s="54">
        <f>'Guru Kirpa Customer Form'!B29</f>
        <v>0</v>
      </c>
      <c r="B69" s="54" t="str">
        <f>IF('Guru Kirpa Customer Form'!F29&lt;&gt;"","GST No." &amp;'Guru Kirpa Customer Form'!F29,"Adhar No." &amp;'Guru Kirpa Customer Form'!G29)</f>
        <v>Adhar No.</v>
      </c>
      <c r="C69" s="54">
        <f t="shared" si="0"/>
        <v>0</v>
      </c>
      <c r="D69" s="54" t="str">
        <f>IF('Guru Kirpa Customer Form'!C29="Haryana","State Name:"&amp;" "&amp;"Haryana,Code No."&amp;" "&amp;"0"&amp;'Guru Kirpa Customer Form'!E29,"State Name:"&amp;" "&amp;'Guru Kirpa Customer Form'!C29&amp;",Code No."&amp;" "&amp;"0"&amp; 'Guru Kirpa Customer Form'!E29)</f>
        <v>State Name: ,Code No. 0</v>
      </c>
    </row>
    <row r="70" spans="1:4" ht="18" x14ac:dyDescent="0.35">
      <c r="A70" s="54">
        <f>'Guru Kirpa Customer Form'!B30</f>
        <v>0</v>
      </c>
      <c r="B70" s="54" t="str">
        <f>IF('Guru Kirpa Customer Form'!F30&lt;&gt;"","GST No." &amp;'Guru Kirpa Customer Form'!F30,"Adhar No." &amp;'Guru Kirpa Customer Form'!G30)</f>
        <v>Adhar No.</v>
      </c>
      <c r="C70" s="54">
        <f t="shared" si="0"/>
        <v>0</v>
      </c>
      <c r="D70" s="54" t="str">
        <f>IF('Guru Kirpa Customer Form'!C30="Haryana","State Name:"&amp;" "&amp;"Haryana,Code No."&amp;" "&amp;"0"&amp;'Guru Kirpa Customer Form'!E30,"State Name:"&amp;" "&amp;'Guru Kirpa Customer Form'!C30&amp;",Code No."&amp;" "&amp;"0"&amp; 'Guru Kirpa Customer Form'!E30)</f>
        <v>State Name: ,Code No. 0</v>
      </c>
    </row>
    <row r="71" spans="1:4" ht="18" x14ac:dyDescent="0.35">
      <c r="A71" s="54">
        <f>'Guru Kirpa Customer Form'!B31</f>
        <v>0</v>
      </c>
      <c r="B71" s="54" t="str">
        <f>IF('Guru Kirpa Customer Form'!F31&lt;&gt;"","GST No." &amp;'Guru Kirpa Customer Form'!F31,"Adhar No." &amp;'Guru Kirpa Customer Form'!G31)</f>
        <v>Adhar No.</v>
      </c>
      <c r="C71" s="54">
        <f t="shared" si="0"/>
        <v>0</v>
      </c>
      <c r="D71" s="54" t="str">
        <f>IF('Guru Kirpa Customer Form'!C31="Haryana","State Name:"&amp;" "&amp;"Haryana,Code No."&amp;" "&amp;"0"&amp;'Guru Kirpa Customer Form'!E31,"State Name:"&amp;" "&amp;'Guru Kirpa Customer Form'!C31&amp;",Code No."&amp;" "&amp;"0"&amp; 'Guru Kirpa Customer Form'!E31)</f>
        <v>State Name: ,Code No. 0</v>
      </c>
    </row>
    <row r="72" spans="1:4" ht="18" x14ac:dyDescent="0.35">
      <c r="A72" s="54">
        <f>'Guru Kirpa Customer Form'!B32</f>
        <v>0</v>
      </c>
      <c r="B72" s="54" t="str">
        <f>IF('Guru Kirpa Customer Form'!F32&lt;&gt;"","GST No." &amp;'Guru Kirpa Customer Form'!F32,"Adhar No." &amp;'Guru Kirpa Customer Form'!G32)</f>
        <v>Adhar No.</v>
      </c>
      <c r="C72" s="54">
        <f t="shared" si="0"/>
        <v>0</v>
      </c>
      <c r="D72" s="54" t="str">
        <f>IF('Guru Kirpa Customer Form'!C32="Haryana","State Name:"&amp;" "&amp;"Haryana,Code No."&amp;" "&amp;"0"&amp;'Guru Kirpa Customer Form'!E32,"State Name:"&amp;" "&amp;'Guru Kirpa Customer Form'!C32&amp;",Code No."&amp;" "&amp;"0"&amp; 'Guru Kirpa Customer Form'!E32)</f>
        <v>State Name: ,Code No. 0</v>
      </c>
    </row>
    <row r="73" spans="1:4" ht="18" x14ac:dyDescent="0.35">
      <c r="A73" s="54">
        <f>'Guru Kirpa Customer Form'!B33</f>
        <v>0</v>
      </c>
      <c r="B73" s="54" t="str">
        <f>IF('Guru Kirpa Customer Form'!F33&lt;&gt;"","GST No." &amp;'Guru Kirpa Customer Form'!F33,"Adhar No." &amp;'Guru Kirpa Customer Form'!G33)</f>
        <v>Adhar No.</v>
      </c>
      <c r="C73" s="54">
        <f t="shared" si="0"/>
        <v>0</v>
      </c>
      <c r="D73" s="54" t="str">
        <f>IF('Guru Kirpa Customer Form'!C33="Haryana","State Name:"&amp;" "&amp;"Haryana,Code No."&amp;" "&amp;"0"&amp;'Guru Kirpa Customer Form'!E33,"State Name:"&amp;" "&amp;'Guru Kirpa Customer Form'!C33&amp;",Code No."&amp;" "&amp;"0"&amp; 'Guru Kirpa Customer Form'!E33)</f>
        <v>State Name: ,Code No. 0</v>
      </c>
    </row>
    <row r="74" spans="1:4" ht="18" x14ac:dyDescent="0.35">
      <c r="A74" s="54">
        <f>'Guru Kirpa Customer Form'!B34</f>
        <v>0</v>
      </c>
      <c r="B74" s="54" t="str">
        <f>IF('Guru Kirpa Customer Form'!F34&lt;&gt;"","GST No." &amp;'Guru Kirpa Customer Form'!F34,"Adhar No." &amp;'Guru Kirpa Customer Form'!G34)</f>
        <v>Adhar No.</v>
      </c>
      <c r="C74" s="54">
        <f t="shared" si="0"/>
        <v>0</v>
      </c>
      <c r="D74" s="54" t="str">
        <f>IF('Guru Kirpa Customer Form'!C34="Haryana","State Name:"&amp;" "&amp;"Haryana,Code No."&amp;" "&amp;"0"&amp;'Guru Kirpa Customer Form'!E34,"State Name:"&amp;" "&amp;'Guru Kirpa Customer Form'!C34&amp;",Code No."&amp;" "&amp;"0"&amp; 'Guru Kirpa Customer Form'!E34)</f>
        <v>State Name: ,Code No. 0</v>
      </c>
    </row>
    <row r="75" spans="1:4" ht="18" x14ac:dyDescent="0.35">
      <c r="A75" s="54">
        <f>'Guru Kirpa Customer Form'!B35</f>
        <v>0</v>
      </c>
      <c r="B75" s="54" t="str">
        <f>IF('Guru Kirpa Customer Form'!F35&lt;&gt;"","GST No." &amp;'Guru Kirpa Customer Form'!F35,"Adhar No." &amp;'Guru Kirpa Customer Form'!G35)</f>
        <v>Adhar No.</v>
      </c>
      <c r="C75" s="54">
        <f t="shared" si="0"/>
        <v>0</v>
      </c>
      <c r="D75" s="54" t="str">
        <f>IF('Guru Kirpa Customer Form'!C35="Haryana","State Name:"&amp;" "&amp;"Haryana,Code No."&amp;" "&amp;"0"&amp;'Guru Kirpa Customer Form'!E35,"State Name:"&amp;" "&amp;'Guru Kirpa Customer Form'!C35&amp;",Code No."&amp;" "&amp;"0"&amp; 'Guru Kirpa Customer Form'!E35)</f>
        <v>State Name: ,Code No. 0</v>
      </c>
    </row>
    <row r="76" spans="1:4" ht="18" x14ac:dyDescent="0.35">
      <c r="A76" s="54">
        <f>'Guru Kirpa Customer Form'!B36</f>
        <v>0</v>
      </c>
      <c r="B76" s="54" t="str">
        <f>IF('Guru Kirpa Customer Form'!F36&lt;&gt;"","GST No." &amp;'Guru Kirpa Customer Form'!F36,"Adhar No." &amp;'Guru Kirpa Customer Form'!G36)</f>
        <v>Adhar No.</v>
      </c>
      <c r="C76" s="54">
        <f t="shared" si="0"/>
        <v>0</v>
      </c>
      <c r="D76" s="54" t="str">
        <f>IF('Guru Kirpa Customer Form'!C36="Haryana","State Name:"&amp;" "&amp;"Haryana,Code No."&amp;" "&amp;"0"&amp;'Guru Kirpa Customer Form'!E36,"State Name:"&amp;" "&amp;'Guru Kirpa Customer Form'!C36&amp;",Code No."&amp;" "&amp;"0"&amp; 'Guru Kirpa Customer Form'!E36)</f>
        <v>State Name: ,Code No. 0</v>
      </c>
    </row>
    <row r="77" spans="1:4" ht="18" x14ac:dyDescent="0.35">
      <c r="A77" s="54">
        <f>'Guru Kirpa Customer Form'!B37</f>
        <v>0</v>
      </c>
      <c r="B77" s="54" t="str">
        <f>IF('Guru Kirpa Customer Form'!F37&lt;&gt;"","GST No." &amp;'Guru Kirpa Customer Form'!F37,"Adhar No." &amp;'Guru Kirpa Customer Form'!G37)</f>
        <v>Adhar No.</v>
      </c>
      <c r="C77" s="54">
        <f t="shared" si="0"/>
        <v>0</v>
      </c>
      <c r="D77" s="54" t="str">
        <f>IF('Guru Kirpa Customer Form'!C37="Haryana","State Name:"&amp;" "&amp;"Haryana,Code No."&amp;" "&amp;"0"&amp;'Guru Kirpa Customer Form'!E37,"State Name:"&amp;" "&amp;'Guru Kirpa Customer Form'!C37&amp;",Code No."&amp;" "&amp;"0"&amp; 'Guru Kirpa Customer Form'!E37)</f>
        <v>State Name: ,Code No. 0</v>
      </c>
    </row>
    <row r="78" spans="1:4" ht="18" x14ac:dyDescent="0.35">
      <c r="A78" s="54">
        <f>'Guru Kirpa Customer Form'!B38</f>
        <v>0</v>
      </c>
      <c r="B78" s="54" t="str">
        <f>IF('Guru Kirpa Customer Form'!F38&lt;&gt;"","GST No." &amp;'Guru Kirpa Customer Form'!F38,"Adhar No." &amp;'Guru Kirpa Customer Form'!G38)</f>
        <v>Adhar No.</v>
      </c>
      <c r="C78" s="54">
        <f t="shared" si="0"/>
        <v>0</v>
      </c>
      <c r="D78" s="54" t="str">
        <f>IF('Guru Kirpa Customer Form'!C38="Haryana","State Name:"&amp;" "&amp;"Haryana,Code No."&amp;" "&amp;"0"&amp;'Guru Kirpa Customer Form'!E38,"State Name:"&amp;" "&amp;'Guru Kirpa Customer Form'!C38&amp;",Code No."&amp;" "&amp;"0"&amp; 'Guru Kirpa Customer Form'!E38)</f>
        <v>State Name: ,Code No. 0</v>
      </c>
    </row>
    <row r="79" spans="1:4" ht="18" x14ac:dyDescent="0.35">
      <c r="A79" s="54">
        <f>'Guru Kirpa Customer Form'!B39</f>
        <v>0</v>
      </c>
      <c r="B79" s="54" t="str">
        <f>IF('Guru Kirpa Customer Form'!F39&lt;&gt;"","GST No." &amp;'Guru Kirpa Customer Form'!F39,"Adhar No." &amp;'Guru Kirpa Customer Form'!G39)</f>
        <v>Adhar No.</v>
      </c>
      <c r="C79" s="54">
        <f t="shared" si="0"/>
        <v>0</v>
      </c>
      <c r="D79" s="54" t="str">
        <f>IF('Guru Kirpa Customer Form'!C39="Haryana","State Name:"&amp;" "&amp;"Haryana,Code No."&amp;" "&amp;"0"&amp;'Guru Kirpa Customer Form'!E39,"State Name:"&amp;" "&amp;'Guru Kirpa Customer Form'!C39&amp;",Code No."&amp;" "&amp;"0"&amp; 'Guru Kirpa Customer Form'!E39)</f>
        <v>State Name: ,Code No. 0</v>
      </c>
    </row>
    <row r="80" spans="1:4" ht="18" x14ac:dyDescent="0.35">
      <c r="A80" s="54">
        <f>'Guru Kirpa Customer Form'!B40</f>
        <v>0</v>
      </c>
      <c r="B80" s="54" t="str">
        <f>IF('Guru Kirpa Customer Form'!F40&lt;&gt;"","GST No." &amp;'Guru Kirpa Customer Form'!F40,"Adhar No." &amp;'Guru Kirpa Customer Form'!G40)</f>
        <v>Adhar No.</v>
      </c>
      <c r="C80" s="54">
        <f t="shared" si="0"/>
        <v>0</v>
      </c>
      <c r="D80" s="54" t="str">
        <f>IF('Guru Kirpa Customer Form'!C40="Haryana","State Name:"&amp;" "&amp;"Haryana,Code No."&amp;" "&amp;"0"&amp;'Guru Kirpa Customer Form'!E40,"State Name:"&amp;" "&amp;'Guru Kirpa Customer Form'!C40&amp;",Code No."&amp;" "&amp;"0"&amp; 'Guru Kirpa Customer Form'!E40)</f>
        <v>State Name: ,Code No. 0</v>
      </c>
    </row>
    <row r="81" spans="1:4" ht="18" x14ac:dyDescent="0.35">
      <c r="A81" s="54">
        <f>'Guru Kirpa Customer Form'!B41</f>
        <v>0</v>
      </c>
      <c r="B81" s="54" t="str">
        <f>IF('Guru Kirpa Customer Form'!F41&lt;&gt;"","GST No." &amp;'Guru Kirpa Customer Form'!F41,"Adhar No." &amp;'Guru Kirpa Customer Form'!G41)</f>
        <v>Adhar No.</v>
      </c>
      <c r="C81" s="54">
        <f t="shared" si="0"/>
        <v>0</v>
      </c>
      <c r="D81" s="54" t="str">
        <f>IF('Guru Kirpa Customer Form'!C41="Haryana","State Name:"&amp;" "&amp;"Haryana,Code No."&amp;" "&amp;"0"&amp;'Guru Kirpa Customer Form'!E41,"State Name:"&amp;" "&amp;'Guru Kirpa Customer Form'!C41&amp;",Code No."&amp;" "&amp;"0"&amp; 'Guru Kirpa Customer Form'!E41)</f>
        <v>State Name: ,Code No. 0</v>
      </c>
    </row>
    <row r="82" spans="1:4" ht="18" x14ac:dyDescent="0.35">
      <c r="A82" s="54">
        <f>'Guru Kirpa Customer Form'!B42</f>
        <v>0</v>
      </c>
      <c r="B82" s="54" t="str">
        <f>IF('Guru Kirpa Customer Form'!F42&lt;&gt;"","GST No." &amp;'Guru Kirpa Customer Form'!F42,"Adhar No." &amp;'Guru Kirpa Customer Form'!G42)</f>
        <v>Adhar No.</v>
      </c>
      <c r="C82" s="54">
        <f t="shared" si="0"/>
        <v>0</v>
      </c>
      <c r="D82" s="54" t="str">
        <f>IF('Guru Kirpa Customer Form'!C42="Haryana","State Name:"&amp;" "&amp;"Haryana,Code No."&amp;" "&amp;"0"&amp;'Guru Kirpa Customer Form'!E42,"State Name:"&amp;" "&amp;'Guru Kirpa Customer Form'!C42&amp;",Code No."&amp;" "&amp;"0"&amp; 'Guru Kirpa Customer Form'!E42)</f>
        <v>State Name: ,Code No. 0</v>
      </c>
    </row>
    <row r="83" spans="1:4" ht="18" x14ac:dyDescent="0.35">
      <c r="A83" s="54">
        <f>'Guru Kirpa Customer Form'!B43</f>
        <v>0</v>
      </c>
      <c r="B83" s="54" t="str">
        <f>IF('Guru Kirpa Customer Form'!F43&lt;&gt;"","GST No." &amp;'Guru Kirpa Customer Form'!F43,"Adhar No." &amp;'Guru Kirpa Customer Form'!G43)</f>
        <v>Adhar No.</v>
      </c>
      <c r="C83" s="54">
        <f t="shared" si="0"/>
        <v>0</v>
      </c>
      <c r="D83" s="54" t="str">
        <f>IF('Guru Kirpa Customer Form'!C43="Haryana","State Name:"&amp;" "&amp;"Haryana,Code No."&amp;" "&amp;"0"&amp;'Guru Kirpa Customer Form'!E43,"State Name:"&amp;" "&amp;'Guru Kirpa Customer Form'!C43&amp;",Code No."&amp;" "&amp;"0"&amp; 'Guru Kirpa Customer Form'!E43)</f>
        <v>State Name: ,Code No. 0</v>
      </c>
    </row>
    <row r="84" spans="1:4" ht="18" x14ac:dyDescent="0.35">
      <c r="A84" s="54">
        <f>'Guru Kirpa Customer Form'!B44</f>
        <v>0</v>
      </c>
      <c r="B84" s="54" t="str">
        <f>IF('Guru Kirpa Customer Form'!F44&lt;&gt;"","GST No." &amp;'Guru Kirpa Customer Form'!F44,"Adhar No." &amp;'Guru Kirpa Customer Form'!G44)</f>
        <v>Adhar No.</v>
      </c>
      <c r="C84" s="54">
        <f t="shared" si="0"/>
        <v>0</v>
      </c>
      <c r="D84" s="54" t="str">
        <f>IF('Guru Kirpa Customer Form'!C44="Haryana","State Name:"&amp;" "&amp;"Haryana,Code No."&amp;" "&amp;"0"&amp;'Guru Kirpa Customer Form'!E44,"State Name:"&amp;" "&amp;'Guru Kirpa Customer Form'!C44&amp;",Code No."&amp;" "&amp;"0"&amp; 'Guru Kirpa Customer Form'!E44)</f>
        <v>State Name: ,Code No. 0</v>
      </c>
    </row>
    <row r="85" spans="1:4" ht="18" x14ac:dyDescent="0.35">
      <c r="A85" s="54">
        <f>'Guru Kirpa Customer Form'!B45</f>
        <v>0</v>
      </c>
      <c r="B85" s="54" t="str">
        <f>IF('Guru Kirpa Customer Form'!F45&lt;&gt;"","GST No." &amp;'Guru Kirpa Customer Form'!F45,"Adhar No." &amp;'Guru Kirpa Customer Form'!G45)</f>
        <v>Adhar No.</v>
      </c>
      <c r="C85" s="54">
        <f t="shared" si="0"/>
        <v>0</v>
      </c>
      <c r="D85" s="54" t="str">
        <f>IF('Guru Kirpa Customer Form'!C45="Haryana","State Name:"&amp;" "&amp;"Haryana,Code No."&amp;" "&amp;"0"&amp;'Guru Kirpa Customer Form'!E45,"State Name:"&amp;" "&amp;'Guru Kirpa Customer Form'!C45&amp;",Code No."&amp;" "&amp;"0"&amp; 'Guru Kirpa Customer Form'!E45)</f>
        <v>State Name: ,Code No. 0</v>
      </c>
    </row>
    <row r="86" spans="1:4" ht="18" x14ac:dyDescent="0.35">
      <c r="A86" s="54">
        <f>'Guru Kirpa Customer Form'!B46</f>
        <v>0</v>
      </c>
      <c r="B86" s="54" t="str">
        <f>IF('Guru Kirpa Customer Form'!F46&lt;&gt;"","GST No." &amp;'Guru Kirpa Customer Form'!F46,"Adhar No." &amp;'Guru Kirpa Customer Form'!G46)</f>
        <v>Adhar No.</v>
      </c>
      <c r="C86" s="54">
        <f t="shared" si="0"/>
        <v>0</v>
      </c>
      <c r="D86" s="54" t="str">
        <f>IF('Guru Kirpa Customer Form'!C46="Haryana","State Name:"&amp;" "&amp;"Haryana,Code No."&amp;" "&amp;"0"&amp;'Guru Kirpa Customer Form'!E46,"State Name:"&amp;" "&amp;'Guru Kirpa Customer Form'!C46&amp;",Code No."&amp;" "&amp;"0"&amp; 'Guru Kirpa Customer Form'!E46)</f>
        <v>State Name: ,Code No. 0</v>
      </c>
    </row>
    <row r="87" spans="1:4" ht="18" x14ac:dyDescent="0.35">
      <c r="A87" s="54">
        <f>'Guru Kirpa Customer Form'!B47</f>
        <v>0</v>
      </c>
      <c r="B87" s="54" t="str">
        <f>IF('Guru Kirpa Customer Form'!F47&lt;&gt;"","GST No." &amp;'Guru Kirpa Customer Form'!F47,"Adhar No." &amp;'Guru Kirpa Customer Form'!G47)</f>
        <v>Adhar No.</v>
      </c>
      <c r="C87" s="54">
        <f t="shared" si="0"/>
        <v>0</v>
      </c>
      <c r="D87" s="54" t="str">
        <f>IF('Guru Kirpa Customer Form'!C47="Haryana","State Name:"&amp;" "&amp;"Haryana,Code No."&amp;" "&amp;"0"&amp;'Guru Kirpa Customer Form'!E47,"State Name:"&amp;" "&amp;'Guru Kirpa Customer Form'!C47&amp;",Code No."&amp;" "&amp;"0"&amp; 'Guru Kirpa Customer Form'!E47)</f>
        <v>State Name: ,Code No. 0</v>
      </c>
    </row>
    <row r="88" spans="1:4" ht="18" x14ac:dyDescent="0.35">
      <c r="A88" s="54">
        <f>'Guru Kirpa Customer Form'!B48</f>
        <v>0</v>
      </c>
      <c r="B88" s="54" t="str">
        <f>IF('Guru Kirpa Customer Form'!F48&lt;&gt;"","GST No." &amp;'Guru Kirpa Customer Form'!F48,"Adhar No." &amp;'Guru Kirpa Customer Form'!G48)</f>
        <v>Adhar No.</v>
      </c>
      <c r="C88" s="54">
        <f t="shared" si="0"/>
        <v>0</v>
      </c>
      <c r="D88" s="54" t="str">
        <f>IF('Guru Kirpa Customer Form'!C48="Haryana","State Name:"&amp;" "&amp;"Haryana,Code No."&amp;" "&amp;"0"&amp;'Guru Kirpa Customer Form'!E48,"State Name:"&amp;" "&amp;'Guru Kirpa Customer Form'!C48&amp;",Code No."&amp;" "&amp;"0"&amp; 'Guru Kirpa Customer Form'!E48)</f>
        <v>State Name: ,Code No. 0</v>
      </c>
    </row>
    <row r="89" spans="1:4" ht="18" x14ac:dyDescent="0.35">
      <c r="A89" s="54">
        <f>'Guru Kirpa Customer Form'!B49</f>
        <v>0</v>
      </c>
      <c r="B89" s="54" t="str">
        <f>IF('Guru Kirpa Customer Form'!F49&lt;&gt;"","GST No." &amp;'Guru Kirpa Customer Form'!F49,"Adhar No." &amp;'Guru Kirpa Customer Form'!G49)</f>
        <v>Adhar No.</v>
      </c>
      <c r="C89" s="54">
        <f t="shared" si="0"/>
        <v>0</v>
      </c>
      <c r="D89" s="54" t="str">
        <f>IF('Guru Kirpa Customer Form'!C49="Haryana","State Name:"&amp;" "&amp;"Haryana,Code No."&amp;" "&amp;"0"&amp;'Guru Kirpa Customer Form'!E49,"State Name:"&amp;" "&amp;'Guru Kirpa Customer Form'!C49&amp;",Code No."&amp;" "&amp;"0"&amp; 'Guru Kirpa Customer Form'!E49)</f>
        <v>State Name: ,Code No. 0</v>
      </c>
    </row>
    <row r="90" spans="1:4" ht="18" x14ac:dyDescent="0.35">
      <c r="A90" s="54">
        <f>'Guru Kirpa Customer Form'!B50</f>
        <v>0</v>
      </c>
      <c r="B90" s="54" t="str">
        <f>IF('Guru Kirpa Customer Form'!F50&lt;&gt;"","GST No." &amp;'Guru Kirpa Customer Form'!F50,"Adhar No." &amp;'Guru Kirpa Customer Form'!G50)</f>
        <v>Adhar No.</v>
      </c>
      <c r="C90" s="54">
        <f t="shared" si="0"/>
        <v>0</v>
      </c>
      <c r="D90" s="54" t="str">
        <f>IF('Guru Kirpa Customer Form'!C50="Haryana","State Name:"&amp;" "&amp;"Haryana,Code No."&amp;" "&amp;"0"&amp;'Guru Kirpa Customer Form'!E50,"State Name:"&amp;" "&amp;'Guru Kirpa Customer Form'!C50&amp;",Code No."&amp;" "&amp;"0"&amp; 'Guru Kirpa Customer Form'!E50)</f>
        <v>State Name: ,Code No. 0</v>
      </c>
    </row>
    <row r="91" spans="1:4" ht="18" x14ac:dyDescent="0.35">
      <c r="A91" s="54">
        <f>'Guru Kirpa Customer Form'!B51</f>
        <v>0</v>
      </c>
      <c r="B91" s="54" t="str">
        <f>IF('Guru Kirpa Customer Form'!F51&lt;&gt;"","GST No." &amp;'Guru Kirpa Customer Form'!F51,"Adhar No." &amp;'Guru Kirpa Customer Form'!G51)</f>
        <v>Adhar No.</v>
      </c>
      <c r="C91" s="54">
        <f t="shared" si="0"/>
        <v>0</v>
      </c>
      <c r="D91" s="54" t="str">
        <f>IF('Guru Kirpa Customer Form'!C51="Haryana","State Name:"&amp;" "&amp;"Haryana,Code No."&amp;" "&amp;"0"&amp;'Guru Kirpa Customer Form'!E51,"State Name:"&amp;" "&amp;'Guru Kirpa Customer Form'!C51&amp;",Code No."&amp;" "&amp;"0"&amp; 'Guru Kirpa Customer Form'!E51)</f>
        <v>State Name: ,Code No. 0</v>
      </c>
    </row>
    <row r="92" spans="1:4" ht="18" x14ac:dyDescent="0.35">
      <c r="A92" s="54">
        <f>'Guru Kirpa Customer Form'!B52</f>
        <v>0</v>
      </c>
      <c r="B92" s="54" t="str">
        <f>IF('Guru Kirpa Customer Form'!F52&lt;&gt;"","GST No." &amp;'Guru Kirpa Customer Form'!F52,"Adhar No." &amp;'Guru Kirpa Customer Form'!G52)</f>
        <v>Adhar No.</v>
      </c>
      <c r="C92" s="54">
        <f t="shared" si="0"/>
        <v>0</v>
      </c>
      <c r="D92" s="54" t="str">
        <f>IF('Guru Kirpa Customer Form'!C52="Haryana","State Name:"&amp;" "&amp;"Haryana,Code No."&amp;" "&amp;"0"&amp;'Guru Kirpa Customer Form'!E52,"State Name:"&amp;" "&amp;'Guru Kirpa Customer Form'!C52&amp;",Code No."&amp;" "&amp;"0"&amp; 'Guru Kirpa Customer Form'!E52)</f>
        <v>State Name: ,Code No. 0</v>
      </c>
    </row>
    <row r="93" spans="1:4" ht="18" x14ac:dyDescent="0.35">
      <c r="A93" s="54">
        <f>'Guru Kirpa Customer Form'!B53</f>
        <v>0</v>
      </c>
      <c r="B93" s="54" t="str">
        <f>IF('Guru Kirpa Customer Form'!F53&lt;&gt;"","GST No." &amp;'Guru Kirpa Customer Form'!F53,"Adhar No." &amp;'Guru Kirpa Customer Form'!G53)</f>
        <v>Adhar No.</v>
      </c>
      <c r="C93" s="54">
        <f t="shared" si="0"/>
        <v>0</v>
      </c>
      <c r="D93" s="54" t="str">
        <f>IF('Guru Kirpa Customer Form'!C53="Haryana","State Name:"&amp;" "&amp;"Haryana,Code No."&amp;" "&amp;"0"&amp;'Guru Kirpa Customer Form'!E53,"State Name:"&amp;" "&amp;'Guru Kirpa Customer Form'!C53&amp;",Code No."&amp;" "&amp;"0"&amp; 'Guru Kirpa Customer Form'!E53)</f>
        <v>State Name: ,Code No. 0</v>
      </c>
    </row>
    <row r="94" spans="1:4" ht="18" x14ac:dyDescent="0.35">
      <c r="A94" s="54">
        <f>'Guru Kirpa Customer Form'!B54</f>
        <v>0</v>
      </c>
      <c r="B94" s="54" t="str">
        <f>IF('Guru Kirpa Customer Form'!F54&lt;&gt;"","GST No." &amp;'Guru Kirpa Customer Form'!F54,"Adhar No." &amp;'Guru Kirpa Customer Form'!G54)</f>
        <v>Adhar No.</v>
      </c>
      <c r="C94" s="54">
        <f t="shared" si="0"/>
        <v>0</v>
      </c>
      <c r="D94" s="54" t="str">
        <f>IF('Guru Kirpa Customer Form'!C54="Haryana","State Name:"&amp;" "&amp;"Haryana,Code No."&amp;" "&amp;"0"&amp;'Guru Kirpa Customer Form'!E54,"State Name:"&amp;" "&amp;'Guru Kirpa Customer Form'!C54&amp;",Code No."&amp;" "&amp;"0"&amp; 'Guru Kirpa Customer Form'!E54)</f>
        <v>State Name: ,Code No. 0</v>
      </c>
    </row>
    <row r="95" spans="1:4" ht="18" x14ac:dyDescent="0.35">
      <c r="A95" s="54">
        <f>'Guru Kirpa Customer Form'!B55</f>
        <v>0</v>
      </c>
      <c r="B95" s="54" t="str">
        <f>IF('Guru Kirpa Customer Form'!F55&lt;&gt;"","GST No." &amp;'Guru Kirpa Customer Form'!F55,"Adhar No." &amp;'Guru Kirpa Customer Form'!G55)</f>
        <v>Adhar No.</v>
      </c>
      <c r="C95" s="54">
        <f t="shared" si="0"/>
        <v>0</v>
      </c>
      <c r="D95" s="54" t="str">
        <f>IF('Guru Kirpa Customer Form'!C55="Haryana","State Name:"&amp;" "&amp;"Haryana,Code No."&amp;" "&amp;"0"&amp;'Guru Kirpa Customer Form'!E55,"State Name:"&amp;" "&amp;'Guru Kirpa Customer Form'!C55&amp;",Code No."&amp;" "&amp;"0"&amp; 'Guru Kirpa Customer Form'!E55)</f>
        <v>State Name: ,Code No. 0</v>
      </c>
    </row>
    <row r="96" spans="1:4" ht="18" x14ac:dyDescent="0.35">
      <c r="A96" s="54">
        <f>'Guru Kirpa Customer Form'!B56</f>
        <v>0</v>
      </c>
      <c r="B96" s="54" t="str">
        <f>IF('Guru Kirpa Customer Form'!F56&lt;&gt;"","GST No." &amp;'Guru Kirpa Customer Form'!F56,"Adhar No." &amp;'Guru Kirpa Customer Form'!G56)</f>
        <v>Adhar No.</v>
      </c>
      <c r="C96" s="54">
        <f t="shared" si="0"/>
        <v>0</v>
      </c>
      <c r="D96" s="54" t="str">
        <f>IF('Guru Kirpa Customer Form'!C56="Haryana","State Name:"&amp;" "&amp;"Haryana,Code No."&amp;" "&amp;"0"&amp;'Guru Kirpa Customer Form'!E56,"State Name:"&amp;" "&amp;'Guru Kirpa Customer Form'!C56&amp;",Code No."&amp;" "&amp;"0"&amp; 'Guru Kirpa Customer Form'!E56)</f>
        <v>State Name: ,Code No. 0</v>
      </c>
    </row>
    <row r="97" spans="1:4" ht="18" x14ac:dyDescent="0.35">
      <c r="A97" s="54">
        <f>'Guru Kirpa Customer Form'!B57</f>
        <v>0</v>
      </c>
      <c r="B97" s="54" t="str">
        <f>IF('Guru Kirpa Customer Form'!F57&lt;&gt;"","GST No." &amp;'Guru Kirpa Customer Form'!F57,"Adhar No." &amp;'Guru Kirpa Customer Form'!G57)</f>
        <v>Adhar No.</v>
      </c>
      <c r="C97" s="54">
        <f t="shared" si="0"/>
        <v>0</v>
      </c>
      <c r="D97" s="54" t="str">
        <f>IF('Guru Kirpa Customer Form'!C57="Haryana","State Name:"&amp;" "&amp;"Haryana,Code No."&amp;" "&amp;"0"&amp;'Guru Kirpa Customer Form'!E57,"State Name:"&amp;" "&amp;'Guru Kirpa Customer Form'!C57&amp;",Code No."&amp;" "&amp;"0"&amp; 'Guru Kirpa Customer Form'!E57)</f>
        <v>State Name: ,Code No. 0</v>
      </c>
    </row>
    <row r="98" spans="1:4" ht="18" x14ac:dyDescent="0.35">
      <c r="A98" s="54">
        <f>'Guru Kirpa Customer Form'!B58</f>
        <v>0</v>
      </c>
      <c r="B98" s="54" t="str">
        <f>IF('Guru Kirpa Customer Form'!F58&lt;&gt;"","GST No." &amp;'Guru Kirpa Customer Form'!F58,"Adhar No." &amp;'Guru Kirpa Customer Form'!G58)</f>
        <v>Adhar No.</v>
      </c>
      <c r="C98" s="54">
        <f t="shared" si="0"/>
        <v>0</v>
      </c>
      <c r="D98" s="54" t="str">
        <f>IF('Guru Kirpa Customer Form'!C58="Haryana","State Name:"&amp;" "&amp;"Haryana,Code No."&amp;" "&amp;"0"&amp;'Guru Kirpa Customer Form'!E58,"State Name:"&amp;" "&amp;'Guru Kirpa Customer Form'!C58&amp;",Code No."&amp;" "&amp;"0"&amp; 'Guru Kirpa Customer Form'!E58)</f>
        <v>State Name: ,Code No. 0</v>
      </c>
    </row>
    <row r="99" spans="1:4" ht="18" x14ac:dyDescent="0.35">
      <c r="A99" s="54">
        <f>'Guru Kirpa Customer Form'!B59</f>
        <v>0</v>
      </c>
      <c r="B99" s="54" t="str">
        <f>IF('Guru Kirpa Customer Form'!F59&lt;&gt;"","GST No." &amp;'Guru Kirpa Customer Form'!F59,"Adhar No." &amp;'Guru Kirpa Customer Form'!G59)</f>
        <v>Adhar No.</v>
      </c>
      <c r="C99" s="54">
        <f t="shared" si="0"/>
        <v>0</v>
      </c>
      <c r="D99" s="54" t="str">
        <f>IF('Guru Kirpa Customer Form'!C59="Haryana","State Name:"&amp;" "&amp;"Haryana,Code No."&amp;" "&amp;"0"&amp;'Guru Kirpa Customer Form'!E59,"State Name:"&amp;" "&amp;'Guru Kirpa Customer Form'!C59&amp;",Code No."&amp;" "&amp;"0"&amp; 'Guru Kirpa Customer Form'!E59)</f>
        <v>State Name: ,Code No. 0</v>
      </c>
    </row>
    <row r="100" spans="1:4" ht="18" x14ac:dyDescent="0.35">
      <c r="A100" s="54">
        <f>'Guru Kirpa Customer Form'!B60</f>
        <v>0</v>
      </c>
      <c r="B100" s="54" t="str">
        <f>IF('Guru Kirpa Customer Form'!F60&lt;&gt;"","GST No." &amp;'Guru Kirpa Customer Form'!F60,"Adhar No." &amp;'Guru Kirpa Customer Form'!G60)</f>
        <v>Adhar No.</v>
      </c>
      <c r="C100" s="54">
        <f t="shared" si="0"/>
        <v>0</v>
      </c>
      <c r="D100" s="54" t="str">
        <f>IF('Guru Kirpa Customer Form'!C60="Haryana","State Name:"&amp;" "&amp;"Haryana,Code No."&amp;" "&amp;"0"&amp;'Guru Kirpa Customer Form'!E60,"State Name:"&amp;" "&amp;'Guru Kirpa Customer Form'!C60&amp;",Code No."&amp;" "&amp;"0"&amp; 'Guru Kirpa Customer Form'!E60)</f>
        <v>State Name: ,Code No. 0</v>
      </c>
    </row>
    <row r="101" spans="1:4" ht="18" x14ac:dyDescent="0.35">
      <c r="A101" s="54">
        <f>'Guru Kirpa Customer Form'!B61</f>
        <v>0</v>
      </c>
      <c r="B101" s="54" t="str">
        <f>IF('Guru Kirpa Customer Form'!F61&lt;&gt;"","GST No." &amp;'Guru Kirpa Customer Form'!F61,"Adhar No." &amp;'Guru Kirpa Customer Form'!G61)</f>
        <v>Adhar No.</v>
      </c>
      <c r="C101" s="54">
        <f t="shared" si="0"/>
        <v>0</v>
      </c>
      <c r="D101" s="54" t="str">
        <f>IF('Guru Kirpa Customer Form'!C61="Haryana","State Name:"&amp;" "&amp;"Haryana,Code No."&amp;" "&amp;"0"&amp;'Guru Kirpa Customer Form'!E61,"State Name:"&amp;" "&amp;'Guru Kirpa Customer Form'!C61&amp;",Code No."&amp;" "&amp;"0"&amp; 'Guru Kirpa Customer Form'!E61)</f>
        <v>State Name: ,Code No. 0</v>
      </c>
    </row>
    <row r="102" spans="1:4" ht="18" x14ac:dyDescent="0.35">
      <c r="A102" s="54">
        <f>'Guru Kirpa Customer Form'!B62</f>
        <v>0</v>
      </c>
      <c r="B102" s="54" t="str">
        <f>IF('Guru Kirpa Customer Form'!F62&lt;&gt;"","GST No." &amp;'Guru Kirpa Customer Form'!F62,"Adhar No." &amp;'Guru Kirpa Customer Form'!G62)</f>
        <v>Adhar No.</v>
      </c>
      <c r="C102" s="54">
        <f t="shared" si="0"/>
        <v>0</v>
      </c>
      <c r="D102" s="54" t="str">
        <f>IF('Guru Kirpa Customer Form'!C62="Haryana","State Name:"&amp;" "&amp;"Haryana,Code No."&amp;" "&amp;"0"&amp;'Guru Kirpa Customer Form'!E62,"State Name:"&amp;" "&amp;'Guru Kirpa Customer Form'!C62&amp;",Code No."&amp;" "&amp;"0"&amp; 'Guru Kirpa Customer Form'!E62)</f>
        <v>State Name: ,Code No. 0</v>
      </c>
    </row>
    <row r="103" spans="1:4" ht="18" x14ac:dyDescent="0.35">
      <c r="A103" s="54">
        <f>'Guru Kirpa Customer Form'!B63</f>
        <v>0</v>
      </c>
      <c r="B103" s="54" t="str">
        <f>IF('Guru Kirpa Customer Form'!F63&lt;&gt;"","GST No." &amp;'Guru Kirpa Customer Form'!F63,"Adhar No." &amp;'Guru Kirpa Customer Form'!G63)</f>
        <v>Adhar No.</v>
      </c>
      <c r="C103" s="54">
        <f t="shared" si="0"/>
        <v>0</v>
      </c>
      <c r="D103" s="54" t="str">
        <f>IF('Guru Kirpa Customer Form'!C63="Haryana","State Name:"&amp;" "&amp;"Haryana,Code No."&amp;" "&amp;"0"&amp;'Guru Kirpa Customer Form'!E63,"State Name:"&amp;" "&amp;'Guru Kirpa Customer Form'!C63&amp;",Code No."&amp;" "&amp;"0"&amp; 'Guru Kirpa Customer Form'!E63)</f>
        <v>State Name: ,Code No. 0</v>
      </c>
    </row>
    <row r="104" spans="1:4" ht="18" x14ac:dyDescent="0.35">
      <c r="A104" s="54">
        <f>'Guru Kirpa Customer Form'!B64</f>
        <v>0</v>
      </c>
      <c r="B104" s="54" t="str">
        <f>IF('Guru Kirpa Customer Form'!F64&lt;&gt;"","GST No." &amp;'Guru Kirpa Customer Form'!F64,"Adhar No." &amp;'Guru Kirpa Customer Form'!G64)</f>
        <v>Adhar No.</v>
      </c>
      <c r="C104" s="54">
        <f t="shared" si="0"/>
        <v>0</v>
      </c>
      <c r="D104" s="54" t="str">
        <f>IF('Guru Kirpa Customer Form'!C64="Haryana","State Name:"&amp;" "&amp;"Haryana,Code No."&amp;" "&amp;"0"&amp;'Guru Kirpa Customer Form'!E64,"State Name:"&amp;" "&amp;'Guru Kirpa Customer Form'!C64&amp;",Code No."&amp;" "&amp;"0"&amp; 'Guru Kirpa Customer Form'!E64)</f>
        <v>State Name: ,Code No. 0</v>
      </c>
    </row>
    <row r="105" spans="1:4" ht="18" x14ac:dyDescent="0.35">
      <c r="A105" s="54">
        <f>'Guru Kirpa Customer Form'!B65</f>
        <v>0</v>
      </c>
      <c r="B105" s="54" t="str">
        <f>IF('Guru Kirpa Customer Form'!F65&lt;&gt;"","GST No." &amp;'Guru Kirpa Customer Form'!F65,"Adhar No." &amp;'Guru Kirpa Customer Form'!G65)</f>
        <v>Adhar No.</v>
      </c>
      <c r="C105" s="54">
        <f t="shared" si="0"/>
        <v>0</v>
      </c>
      <c r="D105" s="54" t="str">
        <f>IF('Guru Kirpa Customer Form'!C65="Haryana","State Name:"&amp;" "&amp;"Haryana,Code No."&amp;" "&amp;"0"&amp;'Guru Kirpa Customer Form'!E65,"State Name:"&amp;" "&amp;'Guru Kirpa Customer Form'!C65&amp;",Code No."&amp;" "&amp;"0"&amp; 'Guru Kirpa Customer Form'!E65)</f>
        <v>State Name: ,Code No. 0</v>
      </c>
    </row>
    <row r="106" spans="1:4" ht="18" x14ac:dyDescent="0.35">
      <c r="A106" s="54">
        <f>'Guru Kirpa Customer Form'!B66</f>
        <v>0</v>
      </c>
      <c r="B106" s="54" t="str">
        <f>IF('Guru Kirpa Customer Form'!F66&lt;&gt;"","GST No." &amp;'Guru Kirpa Customer Form'!F66,"Adhar No." &amp;'Guru Kirpa Customer Form'!G66)</f>
        <v>Adhar No.</v>
      </c>
      <c r="C106" s="54">
        <f t="shared" si="0"/>
        <v>0</v>
      </c>
      <c r="D106" s="54" t="str">
        <f>IF('Guru Kirpa Customer Form'!C66="Haryana","State Name:"&amp;" "&amp;"Haryana,Code No."&amp;" "&amp;"0"&amp;'Guru Kirpa Customer Form'!E66,"State Name:"&amp;" "&amp;'Guru Kirpa Customer Form'!C66&amp;",Code No."&amp;" "&amp;"0"&amp; 'Guru Kirpa Customer Form'!E66)</f>
        <v>State Name: ,Code No. 0</v>
      </c>
    </row>
    <row r="107" spans="1:4" ht="18" x14ac:dyDescent="0.35">
      <c r="A107" s="54">
        <f>'Guru Kirpa Customer Form'!B67</f>
        <v>0</v>
      </c>
      <c r="B107" s="54" t="str">
        <f>IF('Guru Kirpa Customer Form'!F67&lt;&gt;"","GST No." &amp;'Guru Kirpa Customer Form'!F67,"Adhar No." &amp;'Guru Kirpa Customer Form'!G67)</f>
        <v>Adhar No.</v>
      </c>
      <c r="C107" s="54">
        <f t="shared" ref="C107:C170" si="1">A107</f>
        <v>0</v>
      </c>
      <c r="D107" s="54" t="str">
        <f>IF('Guru Kirpa Customer Form'!C67="Haryana","State Name:"&amp;" "&amp;"Haryana,Code No."&amp;" "&amp;"0"&amp;'Guru Kirpa Customer Form'!E67,"State Name:"&amp;" "&amp;'Guru Kirpa Customer Form'!C67&amp;",Code No."&amp;" "&amp;"0"&amp; 'Guru Kirpa Customer Form'!E67)</f>
        <v>State Name: ,Code No. 0</v>
      </c>
    </row>
    <row r="108" spans="1:4" ht="18" x14ac:dyDescent="0.35">
      <c r="A108" s="54">
        <f>'Guru Kirpa Customer Form'!B68</f>
        <v>0</v>
      </c>
      <c r="B108" s="54" t="str">
        <f>IF('Guru Kirpa Customer Form'!F68&lt;&gt;"","GST No." &amp;'Guru Kirpa Customer Form'!F68,"Adhar No." &amp;'Guru Kirpa Customer Form'!G68)</f>
        <v>Adhar No.</v>
      </c>
      <c r="C108" s="54">
        <f t="shared" si="1"/>
        <v>0</v>
      </c>
      <c r="D108" s="54" t="str">
        <f>IF('Guru Kirpa Customer Form'!C68="Haryana","State Name:"&amp;" "&amp;"Haryana,Code No."&amp;" "&amp;"0"&amp;'Guru Kirpa Customer Form'!E68,"State Name:"&amp;" "&amp;'Guru Kirpa Customer Form'!C68&amp;",Code No."&amp;" "&amp;"0"&amp; 'Guru Kirpa Customer Form'!E68)</f>
        <v>State Name: ,Code No. 0</v>
      </c>
    </row>
    <row r="109" spans="1:4" ht="18" x14ac:dyDescent="0.35">
      <c r="A109" s="54">
        <f>'Guru Kirpa Customer Form'!B69</f>
        <v>0</v>
      </c>
      <c r="B109" s="54" t="str">
        <f>IF('Guru Kirpa Customer Form'!F69&lt;&gt;"","GST No." &amp;'Guru Kirpa Customer Form'!F69,"Adhar No." &amp;'Guru Kirpa Customer Form'!G69)</f>
        <v>Adhar No.</v>
      </c>
      <c r="C109" s="54">
        <f t="shared" si="1"/>
        <v>0</v>
      </c>
      <c r="D109" s="54" t="str">
        <f>IF('Guru Kirpa Customer Form'!C69="Haryana","State Name:"&amp;" "&amp;"Haryana,Code No."&amp;" "&amp;"0"&amp;'Guru Kirpa Customer Form'!E69,"State Name:"&amp;" "&amp;'Guru Kirpa Customer Form'!C69&amp;",Code No."&amp;" "&amp;"0"&amp; 'Guru Kirpa Customer Form'!E69)</f>
        <v>State Name: ,Code No. 0</v>
      </c>
    </row>
    <row r="110" spans="1:4" ht="18" x14ac:dyDescent="0.35">
      <c r="A110" s="54">
        <f>'Guru Kirpa Customer Form'!B70</f>
        <v>0</v>
      </c>
      <c r="B110" s="54" t="str">
        <f>IF('Guru Kirpa Customer Form'!F70&lt;&gt;"","GST No." &amp;'Guru Kirpa Customer Form'!F70,"Adhar No." &amp;'Guru Kirpa Customer Form'!G70)</f>
        <v>Adhar No.</v>
      </c>
      <c r="C110" s="54">
        <f t="shared" si="1"/>
        <v>0</v>
      </c>
      <c r="D110" s="54" t="str">
        <f>IF('Guru Kirpa Customer Form'!C70="Haryana","State Name:"&amp;" "&amp;"Haryana,Code No."&amp;" "&amp;"0"&amp;'Guru Kirpa Customer Form'!E70,"State Name:"&amp;" "&amp;'Guru Kirpa Customer Form'!C70&amp;",Code No."&amp;" "&amp;"0"&amp; 'Guru Kirpa Customer Form'!E70)</f>
        <v>State Name: ,Code No. 0</v>
      </c>
    </row>
    <row r="111" spans="1:4" ht="18" x14ac:dyDescent="0.35">
      <c r="A111" s="54">
        <f>'Guru Kirpa Customer Form'!B71</f>
        <v>0</v>
      </c>
      <c r="B111" s="54" t="str">
        <f>IF('Guru Kirpa Customer Form'!F71&lt;&gt;"","GST No." &amp;'Guru Kirpa Customer Form'!F71,"Adhar No." &amp;'Guru Kirpa Customer Form'!G71)</f>
        <v>Adhar No.</v>
      </c>
      <c r="C111" s="54">
        <f t="shared" si="1"/>
        <v>0</v>
      </c>
      <c r="D111" s="54" t="str">
        <f>IF('Guru Kirpa Customer Form'!C71="Haryana","State Name:"&amp;" "&amp;"Haryana,Code No."&amp;" "&amp;"0"&amp;'Guru Kirpa Customer Form'!E71,"State Name:"&amp;" "&amp;'Guru Kirpa Customer Form'!C71&amp;",Code No."&amp;" "&amp;"0"&amp; 'Guru Kirpa Customer Form'!E71)</f>
        <v>State Name: ,Code No. 0</v>
      </c>
    </row>
    <row r="112" spans="1:4" ht="18" x14ac:dyDescent="0.35">
      <c r="A112" s="54">
        <f>'Guru Kirpa Customer Form'!B72</f>
        <v>0</v>
      </c>
      <c r="B112" s="54" t="str">
        <f>IF('Guru Kirpa Customer Form'!F72&lt;&gt;"","GST No." &amp;'Guru Kirpa Customer Form'!F72,"Adhar No." &amp;'Guru Kirpa Customer Form'!G72)</f>
        <v>Adhar No.</v>
      </c>
      <c r="C112" s="54">
        <f t="shared" si="1"/>
        <v>0</v>
      </c>
      <c r="D112" s="54" t="str">
        <f>IF('Guru Kirpa Customer Form'!C72="Haryana","State Name:"&amp;" "&amp;"Haryana,Code No."&amp;" "&amp;"0"&amp;'Guru Kirpa Customer Form'!E72,"State Name:"&amp;" "&amp;'Guru Kirpa Customer Form'!C72&amp;",Code No."&amp;" "&amp;"0"&amp; 'Guru Kirpa Customer Form'!E72)</f>
        <v>State Name: ,Code No. 0</v>
      </c>
    </row>
    <row r="113" spans="1:4" ht="18" x14ac:dyDescent="0.35">
      <c r="A113" s="54">
        <f>'Guru Kirpa Customer Form'!B73</f>
        <v>0</v>
      </c>
      <c r="B113" s="54" t="str">
        <f>IF('Guru Kirpa Customer Form'!F73&lt;&gt;"","GST No." &amp;'Guru Kirpa Customer Form'!F73,"Adhar No." &amp;'Guru Kirpa Customer Form'!G73)</f>
        <v>Adhar No.</v>
      </c>
      <c r="C113" s="54">
        <f t="shared" si="1"/>
        <v>0</v>
      </c>
      <c r="D113" s="54" t="str">
        <f>IF('Guru Kirpa Customer Form'!C73="Haryana","State Name:"&amp;" "&amp;"Haryana,Code No."&amp;" "&amp;"0"&amp;'Guru Kirpa Customer Form'!E73,"State Name:"&amp;" "&amp;'Guru Kirpa Customer Form'!C73&amp;",Code No."&amp;" "&amp;"0"&amp; 'Guru Kirpa Customer Form'!E73)</f>
        <v>State Name: ,Code No. 0</v>
      </c>
    </row>
    <row r="114" spans="1:4" ht="18" x14ac:dyDescent="0.35">
      <c r="A114" s="54">
        <f>'Guru Kirpa Customer Form'!B74</f>
        <v>0</v>
      </c>
      <c r="B114" s="54" t="str">
        <f>IF('Guru Kirpa Customer Form'!F74&lt;&gt;"","GST No." &amp;'Guru Kirpa Customer Form'!F74,"Adhar No." &amp;'Guru Kirpa Customer Form'!G74)</f>
        <v>Adhar No.</v>
      </c>
      <c r="C114" s="54">
        <f t="shared" si="1"/>
        <v>0</v>
      </c>
      <c r="D114" s="54" t="str">
        <f>IF('Guru Kirpa Customer Form'!C74="Haryana","State Name:"&amp;" "&amp;"Haryana,Code No."&amp;" "&amp;"0"&amp;'Guru Kirpa Customer Form'!E74,"State Name:"&amp;" "&amp;'Guru Kirpa Customer Form'!C74&amp;",Code No."&amp;" "&amp;"0"&amp; 'Guru Kirpa Customer Form'!E74)</f>
        <v>State Name: ,Code No. 0</v>
      </c>
    </row>
    <row r="115" spans="1:4" ht="18" x14ac:dyDescent="0.35">
      <c r="A115" s="54">
        <f>'Guru Kirpa Customer Form'!B75</f>
        <v>0</v>
      </c>
      <c r="B115" s="54" t="str">
        <f>IF('Guru Kirpa Customer Form'!F75&lt;&gt;"","GST No." &amp;'Guru Kirpa Customer Form'!F75,"Adhar No." &amp;'Guru Kirpa Customer Form'!G75)</f>
        <v>Adhar No.</v>
      </c>
      <c r="C115" s="54">
        <f t="shared" si="1"/>
        <v>0</v>
      </c>
      <c r="D115" s="54" t="str">
        <f>IF('Guru Kirpa Customer Form'!C75="Haryana","State Name:"&amp;" "&amp;"Haryana,Code No."&amp;" "&amp;"0"&amp;'Guru Kirpa Customer Form'!E75,"State Name:"&amp;" "&amp;'Guru Kirpa Customer Form'!C75&amp;",Code No."&amp;" "&amp;"0"&amp; 'Guru Kirpa Customer Form'!E75)</f>
        <v>State Name: ,Code No. 0</v>
      </c>
    </row>
    <row r="116" spans="1:4" ht="18" x14ac:dyDescent="0.35">
      <c r="A116" s="54">
        <f>'Guru Kirpa Customer Form'!B76</f>
        <v>0</v>
      </c>
      <c r="B116" s="54" t="str">
        <f>IF('Guru Kirpa Customer Form'!F76&lt;&gt;"","GST No." &amp;'Guru Kirpa Customer Form'!F76,"Adhar No." &amp;'Guru Kirpa Customer Form'!G76)</f>
        <v>Adhar No.</v>
      </c>
      <c r="C116" s="54">
        <f t="shared" si="1"/>
        <v>0</v>
      </c>
      <c r="D116" s="54" t="str">
        <f>IF('Guru Kirpa Customer Form'!C76="Haryana","State Name:"&amp;" "&amp;"Haryana,Code No."&amp;" "&amp;"0"&amp;'Guru Kirpa Customer Form'!E76,"State Name:"&amp;" "&amp;'Guru Kirpa Customer Form'!C76&amp;",Code No."&amp;" "&amp;"0"&amp; 'Guru Kirpa Customer Form'!E76)</f>
        <v>State Name: ,Code No. 0</v>
      </c>
    </row>
    <row r="117" spans="1:4" ht="18" x14ac:dyDescent="0.35">
      <c r="A117" s="54">
        <f>'Guru Kirpa Customer Form'!B77</f>
        <v>0</v>
      </c>
      <c r="B117" s="54" t="str">
        <f>IF('Guru Kirpa Customer Form'!F77&lt;&gt;"","GST No." &amp;'Guru Kirpa Customer Form'!F77,"Adhar No." &amp;'Guru Kirpa Customer Form'!G77)</f>
        <v>Adhar No.</v>
      </c>
      <c r="C117" s="54">
        <f t="shared" si="1"/>
        <v>0</v>
      </c>
      <c r="D117" s="54" t="str">
        <f>IF('Guru Kirpa Customer Form'!C77="Haryana","State Name:"&amp;" "&amp;"Haryana,Code No."&amp;" "&amp;"0"&amp;'Guru Kirpa Customer Form'!E77,"State Name:"&amp;" "&amp;'Guru Kirpa Customer Form'!C77&amp;",Code No."&amp;" "&amp;"0"&amp; 'Guru Kirpa Customer Form'!E77)</f>
        <v>State Name: ,Code No. 0</v>
      </c>
    </row>
    <row r="118" spans="1:4" ht="18" x14ac:dyDescent="0.35">
      <c r="A118" s="54">
        <f>'Guru Kirpa Customer Form'!B78</f>
        <v>0</v>
      </c>
      <c r="B118" s="54" t="str">
        <f>IF('Guru Kirpa Customer Form'!F78&lt;&gt;"","GST No." &amp;'Guru Kirpa Customer Form'!F78,"Adhar No." &amp;'Guru Kirpa Customer Form'!G78)</f>
        <v>Adhar No.</v>
      </c>
      <c r="C118" s="54">
        <f t="shared" si="1"/>
        <v>0</v>
      </c>
      <c r="D118" s="54" t="str">
        <f>IF('Guru Kirpa Customer Form'!C78="Haryana","State Name:"&amp;" "&amp;"Haryana,Code No."&amp;" "&amp;"0"&amp;'Guru Kirpa Customer Form'!E78,"State Name:"&amp;" "&amp;'Guru Kirpa Customer Form'!C78&amp;",Code No."&amp;" "&amp;"0"&amp; 'Guru Kirpa Customer Form'!E78)</f>
        <v>State Name: ,Code No. 0</v>
      </c>
    </row>
    <row r="119" spans="1:4" ht="18" x14ac:dyDescent="0.35">
      <c r="A119" s="54">
        <f>'Guru Kirpa Customer Form'!B79</f>
        <v>0</v>
      </c>
      <c r="B119" s="54" t="str">
        <f>IF('Guru Kirpa Customer Form'!F79&lt;&gt;"","GST No." &amp;'Guru Kirpa Customer Form'!F79,"Adhar No." &amp;'Guru Kirpa Customer Form'!G79)</f>
        <v>Adhar No.</v>
      </c>
      <c r="C119" s="54">
        <f t="shared" si="1"/>
        <v>0</v>
      </c>
      <c r="D119" s="54" t="str">
        <f>IF('Guru Kirpa Customer Form'!C79="Haryana","State Name:"&amp;" "&amp;"Haryana,Code No."&amp;" "&amp;"0"&amp;'Guru Kirpa Customer Form'!E79,"State Name:"&amp;" "&amp;'Guru Kirpa Customer Form'!C79&amp;",Code No."&amp;" "&amp;"0"&amp; 'Guru Kirpa Customer Form'!E79)</f>
        <v>State Name: ,Code No. 0</v>
      </c>
    </row>
    <row r="120" spans="1:4" ht="18" x14ac:dyDescent="0.35">
      <c r="A120" s="54">
        <f>'Guru Kirpa Customer Form'!B80</f>
        <v>0</v>
      </c>
      <c r="B120" s="54" t="str">
        <f>IF('Guru Kirpa Customer Form'!F80&lt;&gt;"","GST No." &amp;'Guru Kirpa Customer Form'!F80,"Adhar No." &amp;'Guru Kirpa Customer Form'!G80)</f>
        <v>Adhar No.</v>
      </c>
      <c r="C120" s="54">
        <f t="shared" si="1"/>
        <v>0</v>
      </c>
      <c r="D120" s="54" t="str">
        <f>IF('Guru Kirpa Customer Form'!C80="Haryana","State Name:"&amp;" "&amp;"Haryana,Code No."&amp;" "&amp;"0"&amp;'Guru Kirpa Customer Form'!E80,"State Name:"&amp;" "&amp;'Guru Kirpa Customer Form'!C80&amp;",Code No."&amp;" "&amp;"0"&amp; 'Guru Kirpa Customer Form'!E80)</f>
        <v>State Name: ,Code No. 0</v>
      </c>
    </row>
    <row r="121" spans="1:4" ht="18" x14ac:dyDescent="0.35">
      <c r="A121" s="54">
        <f>'Guru Kirpa Customer Form'!B81</f>
        <v>0</v>
      </c>
      <c r="B121" s="54" t="str">
        <f>IF('Guru Kirpa Customer Form'!F81&lt;&gt;"","GST No." &amp;'Guru Kirpa Customer Form'!F81,"Adhar No." &amp;'Guru Kirpa Customer Form'!G81)</f>
        <v>Adhar No.</v>
      </c>
      <c r="C121" s="54">
        <f t="shared" si="1"/>
        <v>0</v>
      </c>
      <c r="D121" s="54" t="str">
        <f>IF('Guru Kirpa Customer Form'!C81="Haryana","State Name:"&amp;" "&amp;"Haryana,Code No."&amp;" "&amp;"0"&amp;'Guru Kirpa Customer Form'!E81,"State Name:"&amp;" "&amp;'Guru Kirpa Customer Form'!C81&amp;",Code No."&amp;" "&amp;"0"&amp; 'Guru Kirpa Customer Form'!E81)</f>
        <v>State Name: ,Code No. 0</v>
      </c>
    </row>
    <row r="122" spans="1:4" ht="18" x14ac:dyDescent="0.35">
      <c r="A122" s="54">
        <f>'Guru Kirpa Customer Form'!B82</f>
        <v>0</v>
      </c>
      <c r="B122" s="54" t="str">
        <f>IF('Guru Kirpa Customer Form'!F82&lt;&gt;"","GST No." &amp;'Guru Kirpa Customer Form'!F82,"Adhar No." &amp;'Guru Kirpa Customer Form'!G82)</f>
        <v>Adhar No.</v>
      </c>
      <c r="C122" s="54">
        <f t="shared" si="1"/>
        <v>0</v>
      </c>
      <c r="D122" s="54" t="str">
        <f>IF('Guru Kirpa Customer Form'!C82="Haryana","State Name:"&amp;" "&amp;"Haryana,Code No."&amp;" "&amp;"0"&amp;'Guru Kirpa Customer Form'!E82,"State Name:"&amp;" "&amp;'Guru Kirpa Customer Form'!C82&amp;",Code No."&amp;" "&amp;"0"&amp; 'Guru Kirpa Customer Form'!E82)</f>
        <v>State Name: ,Code No. 0</v>
      </c>
    </row>
    <row r="123" spans="1:4" ht="18" x14ac:dyDescent="0.35">
      <c r="A123" s="54">
        <f>'Guru Kirpa Customer Form'!B83</f>
        <v>0</v>
      </c>
      <c r="B123" s="54" t="str">
        <f>IF('Guru Kirpa Customer Form'!F83&lt;&gt;"","GST No." &amp;'Guru Kirpa Customer Form'!F83,"Adhar No." &amp;'Guru Kirpa Customer Form'!G83)</f>
        <v>Adhar No.</v>
      </c>
      <c r="C123" s="54">
        <f t="shared" si="1"/>
        <v>0</v>
      </c>
      <c r="D123" s="54" t="str">
        <f>IF('Guru Kirpa Customer Form'!C83="Haryana","State Name:"&amp;" "&amp;"Haryana,Code No."&amp;" "&amp;"0"&amp;'Guru Kirpa Customer Form'!E83,"State Name:"&amp;" "&amp;'Guru Kirpa Customer Form'!C83&amp;",Code No."&amp;" "&amp;"0"&amp; 'Guru Kirpa Customer Form'!E83)</f>
        <v>State Name: ,Code No. 0</v>
      </c>
    </row>
    <row r="124" spans="1:4" ht="18" x14ac:dyDescent="0.35">
      <c r="A124" s="54">
        <f>'Guru Kirpa Customer Form'!B84</f>
        <v>0</v>
      </c>
      <c r="B124" s="54" t="str">
        <f>IF('Guru Kirpa Customer Form'!F84&lt;&gt;"","GST No." &amp;'Guru Kirpa Customer Form'!F84,"Adhar No." &amp;'Guru Kirpa Customer Form'!G84)</f>
        <v>Adhar No.</v>
      </c>
      <c r="C124" s="54">
        <f t="shared" si="1"/>
        <v>0</v>
      </c>
      <c r="D124" s="54" t="str">
        <f>IF('Guru Kirpa Customer Form'!C84="Haryana","State Name:"&amp;" "&amp;"Haryana,Code No."&amp;" "&amp;"0"&amp;'Guru Kirpa Customer Form'!E84,"State Name:"&amp;" "&amp;'Guru Kirpa Customer Form'!C84&amp;",Code No."&amp;" "&amp;"0"&amp; 'Guru Kirpa Customer Form'!E84)</f>
        <v>State Name: ,Code No. 0</v>
      </c>
    </row>
    <row r="125" spans="1:4" ht="18" x14ac:dyDescent="0.35">
      <c r="A125" s="54">
        <f>'Guru Kirpa Customer Form'!B85</f>
        <v>0</v>
      </c>
      <c r="B125" s="54" t="str">
        <f>IF('Guru Kirpa Customer Form'!F85&lt;&gt;"","GST No." &amp;'Guru Kirpa Customer Form'!F85,"Adhar No." &amp;'Guru Kirpa Customer Form'!G85)</f>
        <v>Adhar No.</v>
      </c>
      <c r="C125" s="54">
        <f t="shared" si="1"/>
        <v>0</v>
      </c>
      <c r="D125" s="54" t="str">
        <f>IF('Guru Kirpa Customer Form'!C85="Haryana","State Name:"&amp;" "&amp;"Haryana,Code No."&amp;" "&amp;"0"&amp;'Guru Kirpa Customer Form'!E85,"State Name:"&amp;" "&amp;'Guru Kirpa Customer Form'!C85&amp;",Code No."&amp;" "&amp;"0"&amp; 'Guru Kirpa Customer Form'!E85)</f>
        <v>State Name: ,Code No. 0</v>
      </c>
    </row>
    <row r="126" spans="1:4" ht="18" x14ac:dyDescent="0.35">
      <c r="A126" s="54">
        <f>'Guru Kirpa Customer Form'!B86</f>
        <v>0</v>
      </c>
      <c r="B126" s="54" t="str">
        <f>IF('Guru Kirpa Customer Form'!F86&lt;&gt;"","GST No." &amp;'Guru Kirpa Customer Form'!F86,"Adhar No." &amp;'Guru Kirpa Customer Form'!G86)</f>
        <v>Adhar No.</v>
      </c>
      <c r="C126" s="54">
        <f t="shared" si="1"/>
        <v>0</v>
      </c>
      <c r="D126" s="54" t="str">
        <f>IF('Guru Kirpa Customer Form'!C86="Haryana","State Name:"&amp;" "&amp;"Haryana,Code No."&amp;" "&amp;"0"&amp;'Guru Kirpa Customer Form'!E86,"State Name:"&amp;" "&amp;'Guru Kirpa Customer Form'!C86&amp;",Code No."&amp;" "&amp;"0"&amp; 'Guru Kirpa Customer Form'!E86)</f>
        <v>State Name: ,Code No. 0</v>
      </c>
    </row>
    <row r="127" spans="1:4" ht="18" x14ac:dyDescent="0.35">
      <c r="A127" s="54">
        <f>'Guru Kirpa Customer Form'!B87</f>
        <v>0</v>
      </c>
      <c r="B127" s="54" t="str">
        <f>IF('Guru Kirpa Customer Form'!F87&lt;&gt;"","GST No." &amp;'Guru Kirpa Customer Form'!F87,"Adhar No." &amp;'Guru Kirpa Customer Form'!G87)</f>
        <v>Adhar No.</v>
      </c>
      <c r="C127" s="54">
        <f t="shared" si="1"/>
        <v>0</v>
      </c>
      <c r="D127" s="54" t="str">
        <f>IF('Guru Kirpa Customer Form'!C87="Haryana","State Name:"&amp;" "&amp;"Haryana,Code No."&amp;" "&amp;"0"&amp;'Guru Kirpa Customer Form'!E87,"State Name:"&amp;" "&amp;'Guru Kirpa Customer Form'!C87&amp;",Code No."&amp;" "&amp;"0"&amp; 'Guru Kirpa Customer Form'!E87)</f>
        <v>State Name: ,Code No. 0</v>
      </c>
    </row>
    <row r="128" spans="1:4" ht="18" x14ac:dyDescent="0.35">
      <c r="A128" s="54">
        <f>'Guru Kirpa Customer Form'!B88</f>
        <v>0</v>
      </c>
      <c r="B128" s="54" t="str">
        <f>IF('Guru Kirpa Customer Form'!F88&lt;&gt;"","GST No." &amp;'Guru Kirpa Customer Form'!F88,"Adhar No." &amp;'Guru Kirpa Customer Form'!G88)</f>
        <v>Adhar No.</v>
      </c>
      <c r="C128" s="54">
        <f t="shared" si="1"/>
        <v>0</v>
      </c>
      <c r="D128" s="54" t="str">
        <f>IF('Guru Kirpa Customer Form'!C88="Haryana","State Name:"&amp;" "&amp;"Haryana,Code No."&amp;" "&amp;"0"&amp;'Guru Kirpa Customer Form'!E88,"State Name:"&amp;" "&amp;'Guru Kirpa Customer Form'!C88&amp;",Code No."&amp;" "&amp;"0"&amp; 'Guru Kirpa Customer Form'!E88)</f>
        <v>State Name: ,Code No. 0</v>
      </c>
    </row>
    <row r="129" spans="1:4" ht="18" x14ac:dyDescent="0.35">
      <c r="A129" s="54">
        <f>'Guru Kirpa Customer Form'!B89</f>
        <v>0</v>
      </c>
      <c r="B129" s="54" t="str">
        <f>IF('Guru Kirpa Customer Form'!F89&lt;&gt;"","GST No." &amp;'Guru Kirpa Customer Form'!F89,"Adhar No." &amp;'Guru Kirpa Customer Form'!G89)</f>
        <v>Adhar No.</v>
      </c>
      <c r="C129" s="54">
        <f t="shared" si="1"/>
        <v>0</v>
      </c>
      <c r="D129" s="54" t="str">
        <f>IF('Guru Kirpa Customer Form'!C89="Haryana","State Name:"&amp;" "&amp;"Haryana,Code No."&amp;" "&amp;"0"&amp;'Guru Kirpa Customer Form'!E89,"State Name:"&amp;" "&amp;'Guru Kirpa Customer Form'!C89&amp;",Code No."&amp;" "&amp;"0"&amp; 'Guru Kirpa Customer Form'!E89)</f>
        <v>State Name: ,Code No. 0</v>
      </c>
    </row>
    <row r="130" spans="1:4" ht="18" x14ac:dyDescent="0.35">
      <c r="A130" s="54">
        <f>'Guru Kirpa Customer Form'!B90</f>
        <v>0</v>
      </c>
      <c r="B130" s="54" t="str">
        <f>IF('Guru Kirpa Customer Form'!F90&lt;&gt;"","GST No." &amp;'Guru Kirpa Customer Form'!F90,"Adhar No." &amp;'Guru Kirpa Customer Form'!G90)</f>
        <v>Adhar No.</v>
      </c>
      <c r="C130" s="54">
        <f t="shared" si="1"/>
        <v>0</v>
      </c>
      <c r="D130" s="54" t="str">
        <f>IF('Guru Kirpa Customer Form'!C90="Haryana","State Name:"&amp;" "&amp;"Haryana,Code No."&amp;" "&amp;"0"&amp;'Guru Kirpa Customer Form'!E90,"State Name:"&amp;" "&amp;'Guru Kirpa Customer Form'!C90&amp;",Code No."&amp;" "&amp;"0"&amp; 'Guru Kirpa Customer Form'!E90)</f>
        <v>State Name: ,Code No. 0</v>
      </c>
    </row>
    <row r="131" spans="1:4" ht="18" x14ac:dyDescent="0.35">
      <c r="A131" s="54">
        <f>'Guru Kirpa Customer Form'!B91</f>
        <v>0</v>
      </c>
      <c r="B131" s="54" t="str">
        <f>IF('Guru Kirpa Customer Form'!F91&lt;&gt;"","GST No." &amp;'Guru Kirpa Customer Form'!F91,"Adhar No." &amp;'Guru Kirpa Customer Form'!G91)</f>
        <v>Adhar No.</v>
      </c>
      <c r="C131" s="54">
        <f t="shared" si="1"/>
        <v>0</v>
      </c>
      <c r="D131" s="54" t="str">
        <f>IF('Guru Kirpa Customer Form'!C91="Haryana","State Name:"&amp;" "&amp;"Haryana,Code No."&amp;" "&amp;"0"&amp;'Guru Kirpa Customer Form'!E91,"State Name:"&amp;" "&amp;'Guru Kirpa Customer Form'!C91&amp;",Code No."&amp;" "&amp;"0"&amp; 'Guru Kirpa Customer Form'!E91)</f>
        <v>State Name: ,Code No. 0</v>
      </c>
    </row>
    <row r="132" spans="1:4" ht="18" x14ac:dyDescent="0.35">
      <c r="A132" s="54">
        <f>'Guru Kirpa Customer Form'!B92</f>
        <v>0</v>
      </c>
      <c r="B132" s="54" t="str">
        <f>IF('Guru Kirpa Customer Form'!F92&lt;&gt;"","GST No." &amp;'Guru Kirpa Customer Form'!F92,"Adhar No." &amp;'Guru Kirpa Customer Form'!G92)</f>
        <v>Adhar No.</v>
      </c>
      <c r="C132" s="54">
        <f t="shared" si="1"/>
        <v>0</v>
      </c>
      <c r="D132" s="54" t="str">
        <f>IF('Guru Kirpa Customer Form'!C92="Haryana","State Name:"&amp;" "&amp;"Haryana,Code No."&amp;" "&amp;"0"&amp;'Guru Kirpa Customer Form'!E92,"State Name:"&amp;" "&amp;'Guru Kirpa Customer Form'!C92&amp;",Code No."&amp;" "&amp;"0"&amp; 'Guru Kirpa Customer Form'!E92)</f>
        <v>State Name: ,Code No. 0</v>
      </c>
    </row>
    <row r="133" spans="1:4" ht="18" x14ac:dyDescent="0.35">
      <c r="A133" s="54">
        <f>'Guru Kirpa Customer Form'!B93</f>
        <v>0</v>
      </c>
      <c r="B133" s="54" t="str">
        <f>IF('Guru Kirpa Customer Form'!F93&lt;&gt;"","GST No." &amp;'Guru Kirpa Customer Form'!F93,"Adhar No." &amp;'Guru Kirpa Customer Form'!G93)</f>
        <v>Adhar No.</v>
      </c>
      <c r="C133" s="54">
        <f t="shared" si="1"/>
        <v>0</v>
      </c>
      <c r="D133" s="54" t="str">
        <f>IF('Guru Kirpa Customer Form'!C93="Haryana","State Name:"&amp;" "&amp;"Haryana,Code No."&amp;" "&amp;"0"&amp;'Guru Kirpa Customer Form'!E93,"State Name:"&amp;" "&amp;'Guru Kirpa Customer Form'!C93&amp;",Code No."&amp;" "&amp;"0"&amp; 'Guru Kirpa Customer Form'!E93)</f>
        <v>State Name: ,Code No. 0</v>
      </c>
    </row>
    <row r="134" spans="1:4" ht="18" x14ac:dyDescent="0.35">
      <c r="A134" s="54">
        <f>'Guru Kirpa Customer Form'!B94</f>
        <v>0</v>
      </c>
      <c r="B134" s="54" t="str">
        <f>IF('Guru Kirpa Customer Form'!F94&lt;&gt;"","GST No." &amp;'Guru Kirpa Customer Form'!F94,"Adhar No." &amp;'Guru Kirpa Customer Form'!G94)</f>
        <v>Adhar No.</v>
      </c>
      <c r="C134" s="54">
        <f t="shared" si="1"/>
        <v>0</v>
      </c>
      <c r="D134" s="54" t="str">
        <f>IF('Guru Kirpa Customer Form'!C94="Haryana","State Name:"&amp;" "&amp;"Haryana,Code No."&amp;" "&amp;"0"&amp;'Guru Kirpa Customer Form'!E94,"State Name:"&amp;" "&amp;'Guru Kirpa Customer Form'!C94&amp;",Code No."&amp;" "&amp;"0"&amp; 'Guru Kirpa Customer Form'!E94)</f>
        <v>State Name: ,Code No. 0</v>
      </c>
    </row>
    <row r="135" spans="1:4" ht="18" x14ac:dyDescent="0.35">
      <c r="A135" s="54">
        <f>'Guru Kirpa Customer Form'!B95</f>
        <v>0</v>
      </c>
      <c r="B135" s="54" t="str">
        <f>IF('Guru Kirpa Customer Form'!F95&lt;&gt;"","GST No." &amp;'Guru Kirpa Customer Form'!F95,"Adhar No." &amp;'Guru Kirpa Customer Form'!G95)</f>
        <v>Adhar No.</v>
      </c>
      <c r="C135" s="54">
        <f t="shared" si="1"/>
        <v>0</v>
      </c>
      <c r="D135" s="54" t="str">
        <f>IF('Guru Kirpa Customer Form'!C95="Haryana","State Name:"&amp;" "&amp;"Haryana,Code No."&amp;" "&amp;"0"&amp;'Guru Kirpa Customer Form'!E95,"State Name:"&amp;" "&amp;'Guru Kirpa Customer Form'!C95&amp;",Code No."&amp;" "&amp;"0"&amp; 'Guru Kirpa Customer Form'!E95)</f>
        <v>State Name: ,Code No. 0</v>
      </c>
    </row>
    <row r="136" spans="1:4" ht="18" x14ac:dyDescent="0.35">
      <c r="A136" s="54">
        <f>'Guru Kirpa Customer Form'!B96</f>
        <v>0</v>
      </c>
      <c r="B136" s="54" t="str">
        <f>IF('Guru Kirpa Customer Form'!F96&lt;&gt;"","GST No." &amp;'Guru Kirpa Customer Form'!F96,"Adhar No." &amp;'Guru Kirpa Customer Form'!G96)</f>
        <v>Adhar No.</v>
      </c>
      <c r="C136" s="54">
        <f t="shared" si="1"/>
        <v>0</v>
      </c>
      <c r="D136" s="54" t="str">
        <f>IF('Guru Kirpa Customer Form'!C96="Haryana","State Name:"&amp;" "&amp;"Haryana,Code No."&amp;" "&amp;"0"&amp;'Guru Kirpa Customer Form'!E96,"State Name:"&amp;" "&amp;'Guru Kirpa Customer Form'!C96&amp;",Code No."&amp;" "&amp;"0"&amp; 'Guru Kirpa Customer Form'!E96)</f>
        <v>State Name: ,Code No. 0</v>
      </c>
    </row>
    <row r="137" spans="1:4" ht="18" x14ac:dyDescent="0.35">
      <c r="A137" s="54">
        <f>'Guru Kirpa Customer Form'!B97</f>
        <v>0</v>
      </c>
      <c r="B137" s="54" t="str">
        <f>IF('Guru Kirpa Customer Form'!F97&lt;&gt;"","GST No." &amp;'Guru Kirpa Customer Form'!F97,"Adhar No." &amp;'Guru Kirpa Customer Form'!G97)</f>
        <v>Adhar No.</v>
      </c>
      <c r="C137" s="54">
        <f t="shared" si="1"/>
        <v>0</v>
      </c>
      <c r="D137" s="54" t="str">
        <f>IF('Guru Kirpa Customer Form'!C97="Haryana","State Name:"&amp;" "&amp;"Haryana,Code No."&amp;" "&amp;"0"&amp;'Guru Kirpa Customer Form'!E97,"State Name:"&amp;" "&amp;'Guru Kirpa Customer Form'!C97&amp;",Code No."&amp;" "&amp;"0"&amp; 'Guru Kirpa Customer Form'!E97)</f>
        <v>State Name: ,Code No. 0</v>
      </c>
    </row>
    <row r="138" spans="1:4" ht="18" x14ac:dyDescent="0.35">
      <c r="A138" s="54">
        <f>'Guru Kirpa Customer Form'!B98</f>
        <v>0</v>
      </c>
      <c r="B138" s="54" t="str">
        <f>IF('Guru Kirpa Customer Form'!F98&lt;&gt;"","GST No." &amp;'Guru Kirpa Customer Form'!F98,"Adhar No." &amp;'Guru Kirpa Customer Form'!G98)</f>
        <v>Adhar No.</v>
      </c>
      <c r="C138" s="54">
        <f t="shared" si="1"/>
        <v>0</v>
      </c>
      <c r="D138" s="54" t="str">
        <f>IF('Guru Kirpa Customer Form'!C98="Haryana","State Name:"&amp;" "&amp;"Haryana,Code No."&amp;" "&amp;"0"&amp;'Guru Kirpa Customer Form'!E98,"State Name:"&amp;" "&amp;'Guru Kirpa Customer Form'!C98&amp;",Code No."&amp;" "&amp;"0"&amp; 'Guru Kirpa Customer Form'!E98)</f>
        <v>State Name: ,Code No. 0</v>
      </c>
    </row>
    <row r="139" spans="1:4" ht="18" x14ac:dyDescent="0.35">
      <c r="A139" s="54">
        <f>'Guru Kirpa Customer Form'!B99</f>
        <v>0</v>
      </c>
      <c r="B139" s="54" t="str">
        <f>IF('Guru Kirpa Customer Form'!F99&lt;&gt;"","GST No." &amp;'Guru Kirpa Customer Form'!F99,"Adhar No." &amp;'Guru Kirpa Customer Form'!G99)</f>
        <v>Adhar No.</v>
      </c>
      <c r="C139" s="54">
        <f t="shared" si="1"/>
        <v>0</v>
      </c>
      <c r="D139" s="54" t="str">
        <f>IF('Guru Kirpa Customer Form'!C99="Haryana","State Name:"&amp;" "&amp;"Haryana,Code No."&amp;" "&amp;"0"&amp;'Guru Kirpa Customer Form'!E99,"State Name:"&amp;" "&amp;'Guru Kirpa Customer Form'!C99&amp;",Code No."&amp;" "&amp;"0"&amp; 'Guru Kirpa Customer Form'!E99)</f>
        <v>State Name: ,Code No. 0</v>
      </c>
    </row>
    <row r="140" spans="1:4" ht="18" x14ac:dyDescent="0.35">
      <c r="A140" s="54">
        <f>'Guru Kirpa Customer Form'!B100</f>
        <v>0</v>
      </c>
      <c r="B140" s="54" t="str">
        <f>IF('Guru Kirpa Customer Form'!F100&lt;&gt;"","GST No." &amp;'Guru Kirpa Customer Form'!F100,"Adhar No." &amp;'Guru Kirpa Customer Form'!G100)</f>
        <v>Adhar No.</v>
      </c>
      <c r="C140" s="54">
        <f t="shared" si="1"/>
        <v>0</v>
      </c>
      <c r="D140" s="54" t="str">
        <f>IF('Guru Kirpa Customer Form'!C100="Haryana","State Name:"&amp;" "&amp;"Haryana,Code No."&amp;" "&amp;"0"&amp;'Guru Kirpa Customer Form'!E100,"State Name:"&amp;" "&amp;'Guru Kirpa Customer Form'!C100&amp;",Code No."&amp;" "&amp;"0"&amp; 'Guru Kirpa Customer Form'!E100)</f>
        <v>State Name: ,Code No. 0</v>
      </c>
    </row>
    <row r="141" spans="1:4" ht="18" x14ac:dyDescent="0.35">
      <c r="A141" s="54">
        <f>'Guru Kirpa Customer Form'!B101</f>
        <v>0</v>
      </c>
      <c r="B141" s="54" t="str">
        <f>IF('Guru Kirpa Customer Form'!F101&lt;&gt;"","GST No." &amp;'Guru Kirpa Customer Form'!F101,"Adhar No." &amp;'Guru Kirpa Customer Form'!G101)</f>
        <v>Adhar No.</v>
      </c>
      <c r="C141" s="54">
        <f t="shared" si="1"/>
        <v>0</v>
      </c>
      <c r="D141" s="54" t="str">
        <f>IF('Guru Kirpa Customer Form'!C101="Haryana","State Name:"&amp;" "&amp;"Haryana,Code No."&amp;" "&amp;"0"&amp;'Guru Kirpa Customer Form'!E101,"State Name:"&amp;" "&amp;'Guru Kirpa Customer Form'!C101&amp;",Code No."&amp;" "&amp;"0"&amp; 'Guru Kirpa Customer Form'!E101)</f>
        <v>State Name: ,Code No. 0</v>
      </c>
    </row>
    <row r="142" spans="1:4" ht="18" x14ac:dyDescent="0.35">
      <c r="A142" s="54">
        <f>'Guru Kirpa Customer Form'!B102</f>
        <v>0</v>
      </c>
      <c r="B142" s="54" t="str">
        <f>IF('Guru Kirpa Customer Form'!F102&lt;&gt;"","GST No." &amp;'Guru Kirpa Customer Form'!F102,"Adhar No." &amp;'Guru Kirpa Customer Form'!G102)</f>
        <v>Adhar No.</v>
      </c>
      <c r="C142" s="54">
        <f t="shared" si="1"/>
        <v>0</v>
      </c>
      <c r="D142" s="54" t="str">
        <f>IF('Guru Kirpa Customer Form'!C102="Haryana","State Name:"&amp;" "&amp;"Haryana,Code No."&amp;" "&amp;"0"&amp;'Guru Kirpa Customer Form'!E102,"State Name:"&amp;" "&amp;'Guru Kirpa Customer Form'!C102&amp;",Code No."&amp;" "&amp;"0"&amp; 'Guru Kirpa Customer Form'!E102)</f>
        <v>State Name: ,Code No. 0</v>
      </c>
    </row>
    <row r="143" spans="1:4" ht="18" x14ac:dyDescent="0.35">
      <c r="A143" s="54">
        <f>'Guru Kirpa Customer Form'!B103</f>
        <v>0</v>
      </c>
      <c r="B143" s="54" t="str">
        <f>IF('Guru Kirpa Customer Form'!F103&lt;&gt;"","GST No." &amp;'Guru Kirpa Customer Form'!F103,"Adhar No." &amp;'Guru Kirpa Customer Form'!G103)</f>
        <v>Adhar No.</v>
      </c>
      <c r="C143" s="54">
        <f t="shared" si="1"/>
        <v>0</v>
      </c>
      <c r="D143" s="54" t="str">
        <f>IF('Guru Kirpa Customer Form'!C103="Haryana","State Name:"&amp;" "&amp;"Haryana,Code No."&amp;" "&amp;"0"&amp;'Guru Kirpa Customer Form'!E103,"State Name:"&amp;" "&amp;'Guru Kirpa Customer Form'!C103&amp;",Code No."&amp;" "&amp;"0"&amp; 'Guru Kirpa Customer Form'!E103)</f>
        <v>State Name: ,Code No. 0</v>
      </c>
    </row>
    <row r="144" spans="1:4" ht="18" x14ac:dyDescent="0.35">
      <c r="A144" s="54">
        <f>'Guru Kirpa Customer Form'!B104</f>
        <v>0</v>
      </c>
      <c r="B144" s="54" t="str">
        <f>IF('Guru Kirpa Customer Form'!F104&lt;&gt;"","GST No." &amp;'Guru Kirpa Customer Form'!F104,"Adhar No." &amp;'Guru Kirpa Customer Form'!G104)</f>
        <v>Adhar No.</v>
      </c>
      <c r="C144" s="54">
        <f t="shared" si="1"/>
        <v>0</v>
      </c>
      <c r="D144" s="54" t="str">
        <f>IF('Guru Kirpa Customer Form'!C104="Haryana","State Name:"&amp;" "&amp;"Haryana,Code No."&amp;" "&amp;"0"&amp;'Guru Kirpa Customer Form'!E104,"State Name:"&amp;" "&amp;'Guru Kirpa Customer Form'!C104&amp;",Code No."&amp;" "&amp;"0"&amp; 'Guru Kirpa Customer Form'!E104)</f>
        <v>State Name: ,Code No. 0</v>
      </c>
    </row>
    <row r="145" spans="1:4" ht="18" x14ac:dyDescent="0.35">
      <c r="A145" s="54">
        <f>'Guru Kirpa Customer Form'!B105</f>
        <v>0</v>
      </c>
      <c r="B145" s="54" t="str">
        <f>IF('Guru Kirpa Customer Form'!F105&lt;&gt;"","GST No." &amp;'Guru Kirpa Customer Form'!F105,"Adhar No." &amp;'Guru Kirpa Customer Form'!G105)</f>
        <v>Adhar No.</v>
      </c>
      <c r="C145" s="54">
        <f t="shared" si="1"/>
        <v>0</v>
      </c>
      <c r="D145" s="54" t="str">
        <f>IF('Guru Kirpa Customer Form'!C105="Haryana","State Name:"&amp;" "&amp;"Haryana,Code No."&amp;" "&amp;"0"&amp;'Guru Kirpa Customer Form'!E105,"State Name:"&amp;" "&amp;'Guru Kirpa Customer Form'!C105&amp;",Code No."&amp;" "&amp;"0"&amp; 'Guru Kirpa Customer Form'!E105)</f>
        <v>State Name: ,Code No. 0</v>
      </c>
    </row>
    <row r="146" spans="1:4" ht="18" x14ac:dyDescent="0.35">
      <c r="A146" s="54">
        <f>'Guru Kirpa Customer Form'!B106</f>
        <v>0</v>
      </c>
      <c r="B146" s="54" t="str">
        <f>IF('Guru Kirpa Customer Form'!F106&lt;&gt;"","GST No." &amp;'Guru Kirpa Customer Form'!F106,"Adhar No." &amp;'Guru Kirpa Customer Form'!G106)</f>
        <v>Adhar No.</v>
      </c>
      <c r="C146" s="54">
        <f t="shared" si="1"/>
        <v>0</v>
      </c>
      <c r="D146" s="54" t="str">
        <f>IF('Guru Kirpa Customer Form'!C106="Haryana","State Name:"&amp;" "&amp;"Haryana,Code No."&amp;" "&amp;"0"&amp;'Guru Kirpa Customer Form'!E106,"State Name:"&amp;" "&amp;'Guru Kirpa Customer Form'!C106&amp;",Code No."&amp;" "&amp;"0"&amp; 'Guru Kirpa Customer Form'!E106)</f>
        <v>State Name: ,Code No. 0</v>
      </c>
    </row>
    <row r="147" spans="1:4" ht="18" x14ac:dyDescent="0.35">
      <c r="A147" s="54">
        <f>'Guru Kirpa Customer Form'!B107</f>
        <v>0</v>
      </c>
      <c r="B147" s="54" t="str">
        <f>IF('Guru Kirpa Customer Form'!F107&lt;&gt;"","GST No." &amp;'Guru Kirpa Customer Form'!F107,"Adhar No." &amp;'Guru Kirpa Customer Form'!G107)</f>
        <v>Adhar No.</v>
      </c>
      <c r="C147" s="54">
        <f t="shared" si="1"/>
        <v>0</v>
      </c>
      <c r="D147" s="54" t="str">
        <f>IF('Guru Kirpa Customer Form'!C107="Haryana","State Name:"&amp;" "&amp;"Haryana,Code No."&amp;" "&amp;"0"&amp;'Guru Kirpa Customer Form'!E107,"State Name:"&amp;" "&amp;'Guru Kirpa Customer Form'!C107&amp;",Code No."&amp;" "&amp;"0"&amp; 'Guru Kirpa Customer Form'!E107)</f>
        <v>State Name: ,Code No. 0</v>
      </c>
    </row>
    <row r="148" spans="1:4" ht="18" x14ac:dyDescent="0.35">
      <c r="A148" s="54">
        <f>'Guru Kirpa Customer Form'!B108</f>
        <v>0</v>
      </c>
      <c r="B148" s="54" t="str">
        <f>IF('Guru Kirpa Customer Form'!F108&lt;&gt;"","GST No." &amp;'Guru Kirpa Customer Form'!F108,"Adhar No." &amp;'Guru Kirpa Customer Form'!G108)</f>
        <v>Adhar No.</v>
      </c>
      <c r="C148" s="54">
        <f t="shared" si="1"/>
        <v>0</v>
      </c>
      <c r="D148" s="54" t="str">
        <f>IF('Guru Kirpa Customer Form'!C108="Haryana","State Name:"&amp;" "&amp;"Haryana,Code No."&amp;" "&amp;"0"&amp;'Guru Kirpa Customer Form'!E108,"State Name:"&amp;" "&amp;'Guru Kirpa Customer Form'!C108&amp;",Code No."&amp;" "&amp;"0"&amp; 'Guru Kirpa Customer Form'!E108)</f>
        <v>State Name: ,Code No. 0</v>
      </c>
    </row>
    <row r="149" spans="1:4" ht="18" x14ac:dyDescent="0.35">
      <c r="A149" s="54">
        <f>'Guru Kirpa Customer Form'!B109</f>
        <v>0</v>
      </c>
      <c r="B149" s="54" t="str">
        <f>IF('Guru Kirpa Customer Form'!F109&lt;&gt;"","GST No." &amp;'Guru Kirpa Customer Form'!F109,"Adhar No." &amp;'Guru Kirpa Customer Form'!G109)</f>
        <v>Adhar No.</v>
      </c>
      <c r="C149" s="54">
        <f t="shared" si="1"/>
        <v>0</v>
      </c>
      <c r="D149" s="54" t="str">
        <f>IF('Guru Kirpa Customer Form'!C109="Haryana","State Name:"&amp;" "&amp;"Haryana,Code No."&amp;" "&amp;"0"&amp;'Guru Kirpa Customer Form'!E109,"State Name:"&amp;" "&amp;'Guru Kirpa Customer Form'!C109&amp;",Code No."&amp;" "&amp;"0"&amp; 'Guru Kirpa Customer Form'!E109)</f>
        <v>State Name: ,Code No. 0</v>
      </c>
    </row>
    <row r="150" spans="1:4" ht="18" x14ac:dyDescent="0.35">
      <c r="A150" s="54">
        <f>'Guru Kirpa Customer Form'!B110</f>
        <v>0</v>
      </c>
      <c r="B150" s="54" t="str">
        <f>IF('Guru Kirpa Customer Form'!F110&lt;&gt;"","GST No." &amp;'Guru Kirpa Customer Form'!F110,"Adhar No." &amp;'Guru Kirpa Customer Form'!G110)</f>
        <v>Adhar No.</v>
      </c>
      <c r="C150" s="54">
        <f t="shared" si="1"/>
        <v>0</v>
      </c>
      <c r="D150" s="54" t="str">
        <f>IF('Guru Kirpa Customer Form'!C110="Haryana","State Name:"&amp;" "&amp;"Haryana,Code No."&amp;" "&amp;"0"&amp;'Guru Kirpa Customer Form'!E110,"State Name:"&amp;" "&amp;'Guru Kirpa Customer Form'!C110&amp;",Code No."&amp;" "&amp;"0"&amp; 'Guru Kirpa Customer Form'!E110)</f>
        <v>State Name: ,Code No. 0</v>
      </c>
    </row>
    <row r="151" spans="1:4" ht="18" x14ac:dyDescent="0.35">
      <c r="A151" s="54">
        <f>'Guru Kirpa Customer Form'!B111</f>
        <v>0</v>
      </c>
      <c r="B151" s="54" t="str">
        <f>IF('Guru Kirpa Customer Form'!F111&lt;&gt;"","GST No." &amp;'Guru Kirpa Customer Form'!F111,"Adhar No." &amp;'Guru Kirpa Customer Form'!G111)</f>
        <v>Adhar No.</v>
      </c>
      <c r="C151" s="54">
        <f t="shared" si="1"/>
        <v>0</v>
      </c>
      <c r="D151" s="54" t="str">
        <f>IF('Guru Kirpa Customer Form'!C111="Haryana","State Name:"&amp;" "&amp;"Haryana,Code No."&amp;" "&amp;"0"&amp;'Guru Kirpa Customer Form'!E111,"State Name:"&amp;" "&amp;'Guru Kirpa Customer Form'!C111&amp;",Code No."&amp;" "&amp;"0"&amp; 'Guru Kirpa Customer Form'!E111)</f>
        <v>State Name: ,Code No. 0</v>
      </c>
    </row>
    <row r="152" spans="1:4" ht="18" x14ac:dyDescent="0.35">
      <c r="A152" s="54">
        <f>'Guru Kirpa Customer Form'!B112</f>
        <v>0</v>
      </c>
      <c r="B152" s="54" t="str">
        <f>IF('Guru Kirpa Customer Form'!F112&lt;&gt;"","GST No." &amp;'Guru Kirpa Customer Form'!F112,"Adhar No." &amp;'Guru Kirpa Customer Form'!G112)</f>
        <v>Adhar No.</v>
      </c>
      <c r="C152" s="54">
        <f t="shared" si="1"/>
        <v>0</v>
      </c>
      <c r="D152" s="54" t="str">
        <f>IF('Guru Kirpa Customer Form'!C112="Haryana","State Name:"&amp;" "&amp;"Haryana,Code No."&amp;" "&amp;"0"&amp;'Guru Kirpa Customer Form'!E112,"State Name:"&amp;" "&amp;'Guru Kirpa Customer Form'!C112&amp;",Code No."&amp;" "&amp;"0"&amp; 'Guru Kirpa Customer Form'!E112)</f>
        <v>State Name: ,Code No. 0</v>
      </c>
    </row>
    <row r="153" spans="1:4" ht="18" x14ac:dyDescent="0.35">
      <c r="A153" s="54">
        <f>'Guru Kirpa Customer Form'!B113</f>
        <v>0</v>
      </c>
      <c r="B153" s="54" t="str">
        <f>IF('Guru Kirpa Customer Form'!F113&lt;&gt;"","GST No." &amp;'Guru Kirpa Customer Form'!F113,"Adhar No." &amp;'Guru Kirpa Customer Form'!G113)</f>
        <v>Adhar No.</v>
      </c>
      <c r="C153" s="54">
        <f t="shared" si="1"/>
        <v>0</v>
      </c>
      <c r="D153" s="54" t="str">
        <f>IF('Guru Kirpa Customer Form'!C113="Haryana","State Name:"&amp;" "&amp;"Haryana,Code No."&amp;" "&amp;"0"&amp;'Guru Kirpa Customer Form'!E113,"State Name:"&amp;" "&amp;'Guru Kirpa Customer Form'!C113&amp;",Code No."&amp;" "&amp;"0"&amp; 'Guru Kirpa Customer Form'!E113)</f>
        <v>State Name: ,Code No. 0</v>
      </c>
    </row>
    <row r="154" spans="1:4" ht="18" x14ac:dyDescent="0.35">
      <c r="A154" s="54">
        <f>'Guru Kirpa Customer Form'!B114</f>
        <v>0</v>
      </c>
      <c r="B154" s="54" t="str">
        <f>IF('Guru Kirpa Customer Form'!F114&lt;&gt;"","GST No." &amp;'Guru Kirpa Customer Form'!F114,"Adhar No." &amp;'Guru Kirpa Customer Form'!G114)</f>
        <v>Adhar No.</v>
      </c>
      <c r="C154" s="54">
        <f t="shared" si="1"/>
        <v>0</v>
      </c>
      <c r="D154" s="54" t="str">
        <f>IF('Guru Kirpa Customer Form'!C114="Haryana","State Name:"&amp;" "&amp;"Haryana,Code No."&amp;" "&amp;"0"&amp;'Guru Kirpa Customer Form'!E114,"State Name:"&amp;" "&amp;'Guru Kirpa Customer Form'!C114&amp;",Code No."&amp;" "&amp;"0"&amp; 'Guru Kirpa Customer Form'!E114)</f>
        <v>State Name: ,Code No. 0</v>
      </c>
    </row>
    <row r="155" spans="1:4" ht="18" x14ac:dyDescent="0.35">
      <c r="A155" s="54">
        <f>'Guru Kirpa Customer Form'!B115</f>
        <v>0</v>
      </c>
      <c r="B155" s="54" t="str">
        <f>IF('Guru Kirpa Customer Form'!F115&lt;&gt;"","GST No." &amp;'Guru Kirpa Customer Form'!F115,"Adhar No." &amp;'Guru Kirpa Customer Form'!G115)</f>
        <v>Adhar No.</v>
      </c>
      <c r="C155" s="54">
        <f t="shared" si="1"/>
        <v>0</v>
      </c>
      <c r="D155" s="54" t="str">
        <f>IF('Guru Kirpa Customer Form'!C115="Haryana","State Name:"&amp;" "&amp;"Haryana,Code No."&amp;" "&amp;"0"&amp;'Guru Kirpa Customer Form'!E115,"State Name:"&amp;" "&amp;'Guru Kirpa Customer Form'!C115&amp;",Code No."&amp;" "&amp;"0"&amp; 'Guru Kirpa Customer Form'!E115)</f>
        <v>State Name: ,Code No. 0</v>
      </c>
    </row>
    <row r="156" spans="1:4" ht="18" x14ac:dyDescent="0.35">
      <c r="A156" s="54">
        <f>'Guru Kirpa Customer Form'!B116</f>
        <v>0</v>
      </c>
      <c r="B156" s="54" t="str">
        <f>IF('Guru Kirpa Customer Form'!F116&lt;&gt;"","GST No." &amp;'Guru Kirpa Customer Form'!F116,"Adhar No." &amp;'Guru Kirpa Customer Form'!G116)</f>
        <v>Adhar No.</v>
      </c>
      <c r="C156" s="54">
        <f t="shared" si="1"/>
        <v>0</v>
      </c>
      <c r="D156" s="54" t="str">
        <f>IF('Guru Kirpa Customer Form'!C116="Haryana","State Name:"&amp;" "&amp;"Haryana,Code No."&amp;" "&amp;"0"&amp;'Guru Kirpa Customer Form'!E116,"State Name:"&amp;" "&amp;'Guru Kirpa Customer Form'!C116&amp;",Code No."&amp;" "&amp;"0"&amp; 'Guru Kirpa Customer Form'!E116)</f>
        <v>State Name: ,Code No. 0</v>
      </c>
    </row>
    <row r="157" spans="1:4" ht="18" x14ac:dyDescent="0.35">
      <c r="A157" s="54">
        <f>'Guru Kirpa Customer Form'!B117</f>
        <v>0</v>
      </c>
      <c r="B157" s="54" t="str">
        <f>IF('Guru Kirpa Customer Form'!F117&lt;&gt;"","GST No." &amp;'Guru Kirpa Customer Form'!F117,"Adhar No." &amp;'Guru Kirpa Customer Form'!G117)</f>
        <v>Adhar No.</v>
      </c>
      <c r="C157" s="54">
        <f t="shared" si="1"/>
        <v>0</v>
      </c>
      <c r="D157" s="54" t="str">
        <f>IF('Guru Kirpa Customer Form'!C117="Haryana","State Name:"&amp;" "&amp;"Haryana,Code No."&amp;" "&amp;"0"&amp;'Guru Kirpa Customer Form'!E117,"State Name:"&amp;" "&amp;'Guru Kirpa Customer Form'!C117&amp;",Code No."&amp;" "&amp;"0"&amp; 'Guru Kirpa Customer Form'!E117)</f>
        <v>State Name: ,Code No. 0</v>
      </c>
    </row>
    <row r="158" spans="1:4" ht="18" x14ac:dyDescent="0.35">
      <c r="A158" s="54">
        <f>'Guru Kirpa Customer Form'!B118</f>
        <v>0</v>
      </c>
      <c r="B158" s="54" t="str">
        <f>IF('Guru Kirpa Customer Form'!F118&lt;&gt;"","GST No." &amp;'Guru Kirpa Customer Form'!F118,"Adhar No." &amp;'Guru Kirpa Customer Form'!G118)</f>
        <v>Adhar No.</v>
      </c>
      <c r="C158" s="54">
        <f t="shared" si="1"/>
        <v>0</v>
      </c>
      <c r="D158" s="54" t="str">
        <f>IF('Guru Kirpa Customer Form'!C118="Haryana","State Name:"&amp;" "&amp;"Haryana,Code No."&amp;" "&amp;"0"&amp;'Guru Kirpa Customer Form'!E118,"State Name:"&amp;" "&amp;'Guru Kirpa Customer Form'!C118&amp;",Code No."&amp;" "&amp;"0"&amp; 'Guru Kirpa Customer Form'!E118)</f>
        <v>State Name: ,Code No. 0</v>
      </c>
    </row>
    <row r="159" spans="1:4" ht="18" x14ac:dyDescent="0.35">
      <c r="A159" s="54">
        <f>'Guru Kirpa Customer Form'!B119</f>
        <v>0</v>
      </c>
      <c r="B159" s="54" t="str">
        <f>IF('Guru Kirpa Customer Form'!F119&lt;&gt;"","GST No." &amp;'Guru Kirpa Customer Form'!F119,"Adhar No." &amp;'Guru Kirpa Customer Form'!G119)</f>
        <v>Adhar No.</v>
      </c>
      <c r="C159" s="54">
        <f t="shared" si="1"/>
        <v>0</v>
      </c>
      <c r="D159" s="54" t="str">
        <f>IF('Guru Kirpa Customer Form'!C119="Haryana","State Name:"&amp;" "&amp;"Haryana,Code No."&amp;" "&amp;"0"&amp;'Guru Kirpa Customer Form'!E119,"State Name:"&amp;" "&amp;'Guru Kirpa Customer Form'!C119&amp;",Code No."&amp;" "&amp;"0"&amp; 'Guru Kirpa Customer Form'!E119)</f>
        <v>State Name: ,Code No. 0</v>
      </c>
    </row>
    <row r="160" spans="1:4" ht="18" x14ac:dyDescent="0.35">
      <c r="A160" s="54">
        <f>'Guru Kirpa Customer Form'!B120</f>
        <v>0</v>
      </c>
      <c r="B160" s="54" t="str">
        <f>IF('Guru Kirpa Customer Form'!F120&lt;&gt;"","GST No." &amp;'Guru Kirpa Customer Form'!F120,"Adhar No." &amp;'Guru Kirpa Customer Form'!G120)</f>
        <v>Adhar No.</v>
      </c>
      <c r="C160" s="54">
        <f t="shared" si="1"/>
        <v>0</v>
      </c>
      <c r="D160" s="54" t="str">
        <f>IF('Guru Kirpa Customer Form'!C120="Haryana","State Name:"&amp;" "&amp;"Haryana,Code No."&amp;" "&amp;"0"&amp;'Guru Kirpa Customer Form'!E120,"State Name:"&amp;" "&amp;'Guru Kirpa Customer Form'!C120&amp;",Code No."&amp;" "&amp;"0"&amp; 'Guru Kirpa Customer Form'!E120)</f>
        <v>State Name: ,Code No. 0</v>
      </c>
    </row>
    <row r="161" spans="1:4" ht="18" x14ac:dyDescent="0.35">
      <c r="A161" s="54">
        <f>'Guru Kirpa Customer Form'!B121</f>
        <v>0</v>
      </c>
      <c r="B161" s="54" t="str">
        <f>IF('Guru Kirpa Customer Form'!F121&lt;&gt;"","GST No." &amp;'Guru Kirpa Customer Form'!F121,"Adhar No." &amp;'Guru Kirpa Customer Form'!G121)</f>
        <v>Adhar No.</v>
      </c>
      <c r="C161" s="54">
        <f t="shared" si="1"/>
        <v>0</v>
      </c>
      <c r="D161" s="54" t="str">
        <f>IF('Guru Kirpa Customer Form'!C121="Haryana","State Name:"&amp;" "&amp;"Haryana,Code No."&amp;" "&amp;"0"&amp;'Guru Kirpa Customer Form'!E121,"State Name:"&amp;" "&amp;'Guru Kirpa Customer Form'!C121&amp;",Code No."&amp;" "&amp;"0"&amp; 'Guru Kirpa Customer Form'!E121)</f>
        <v>State Name: ,Code No. 0</v>
      </c>
    </row>
    <row r="162" spans="1:4" ht="18" x14ac:dyDescent="0.35">
      <c r="A162" s="54">
        <f>'Guru Kirpa Customer Form'!B122</f>
        <v>0</v>
      </c>
      <c r="B162" s="54" t="str">
        <f>IF('Guru Kirpa Customer Form'!F122&lt;&gt;"","GST No." &amp;'Guru Kirpa Customer Form'!F122,"Adhar No." &amp;'Guru Kirpa Customer Form'!G122)</f>
        <v>Adhar No.</v>
      </c>
      <c r="C162" s="54">
        <f t="shared" si="1"/>
        <v>0</v>
      </c>
      <c r="D162" s="54" t="str">
        <f>IF('Guru Kirpa Customer Form'!C122="Haryana","State Name:"&amp;" "&amp;"Haryana,Code No."&amp;" "&amp;"0"&amp;'Guru Kirpa Customer Form'!E122,"State Name:"&amp;" "&amp;'Guru Kirpa Customer Form'!C122&amp;",Code No."&amp;" "&amp;"0"&amp; 'Guru Kirpa Customer Form'!E122)</f>
        <v>State Name: ,Code No. 0</v>
      </c>
    </row>
    <row r="163" spans="1:4" ht="18" x14ac:dyDescent="0.35">
      <c r="A163" s="54">
        <f>'Guru Kirpa Customer Form'!B123</f>
        <v>0</v>
      </c>
      <c r="B163" s="54" t="str">
        <f>IF('Guru Kirpa Customer Form'!F123&lt;&gt;"","GST No." &amp;'Guru Kirpa Customer Form'!F123,"Adhar No." &amp;'Guru Kirpa Customer Form'!G123)</f>
        <v>Adhar No.</v>
      </c>
      <c r="C163" s="54">
        <f t="shared" si="1"/>
        <v>0</v>
      </c>
      <c r="D163" s="54" t="str">
        <f>IF('Guru Kirpa Customer Form'!C123="Haryana","State Name:"&amp;" "&amp;"Haryana,Code No."&amp;" "&amp;"0"&amp;'Guru Kirpa Customer Form'!E123,"State Name:"&amp;" "&amp;'Guru Kirpa Customer Form'!C123&amp;",Code No."&amp;" "&amp;"0"&amp; 'Guru Kirpa Customer Form'!E123)</f>
        <v>State Name: ,Code No. 0</v>
      </c>
    </row>
    <row r="164" spans="1:4" ht="18" x14ac:dyDescent="0.35">
      <c r="A164" s="54">
        <f>'Guru Kirpa Customer Form'!B124</f>
        <v>0</v>
      </c>
      <c r="B164" s="54" t="str">
        <f>IF('Guru Kirpa Customer Form'!F124&lt;&gt;"","GST No." &amp;'Guru Kirpa Customer Form'!F124,"Adhar No." &amp;'Guru Kirpa Customer Form'!G124)</f>
        <v>Adhar No.</v>
      </c>
      <c r="C164" s="54">
        <f t="shared" si="1"/>
        <v>0</v>
      </c>
      <c r="D164" s="54" t="str">
        <f>IF('Guru Kirpa Customer Form'!C124="Haryana","State Name:"&amp;" "&amp;"Haryana,Code No."&amp;" "&amp;"0"&amp;'Guru Kirpa Customer Form'!E124,"State Name:"&amp;" "&amp;'Guru Kirpa Customer Form'!C124&amp;",Code No."&amp;" "&amp;"0"&amp; 'Guru Kirpa Customer Form'!E124)</f>
        <v>State Name: ,Code No. 0</v>
      </c>
    </row>
    <row r="165" spans="1:4" ht="18" x14ac:dyDescent="0.35">
      <c r="A165" s="54">
        <f>'Guru Kirpa Customer Form'!B125</f>
        <v>0</v>
      </c>
      <c r="B165" s="54" t="str">
        <f>IF('Guru Kirpa Customer Form'!F125&lt;&gt;"","GST No." &amp;'Guru Kirpa Customer Form'!F125,"Adhar No." &amp;'Guru Kirpa Customer Form'!G125)</f>
        <v>Adhar No.</v>
      </c>
      <c r="C165" s="54">
        <f t="shared" si="1"/>
        <v>0</v>
      </c>
      <c r="D165" s="54" t="str">
        <f>IF('Guru Kirpa Customer Form'!C125="Haryana","State Name:"&amp;" "&amp;"Haryana,Code No."&amp;" "&amp;"0"&amp;'Guru Kirpa Customer Form'!E125,"State Name:"&amp;" "&amp;'Guru Kirpa Customer Form'!C125&amp;",Code No."&amp;" "&amp;"0"&amp; 'Guru Kirpa Customer Form'!E125)</f>
        <v>State Name: ,Code No. 0</v>
      </c>
    </row>
    <row r="166" spans="1:4" ht="18" x14ac:dyDescent="0.35">
      <c r="A166" s="54">
        <f>'Guru Kirpa Customer Form'!B126</f>
        <v>0</v>
      </c>
      <c r="B166" s="54" t="str">
        <f>IF('Guru Kirpa Customer Form'!F126&lt;&gt;"","GST No." &amp;'Guru Kirpa Customer Form'!F126,"Adhar No." &amp;'Guru Kirpa Customer Form'!G126)</f>
        <v>Adhar No.</v>
      </c>
      <c r="C166" s="54">
        <f t="shared" si="1"/>
        <v>0</v>
      </c>
      <c r="D166" s="54" t="str">
        <f>IF('Guru Kirpa Customer Form'!C126="Haryana","State Name:"&amp;" "&amp;"Haryana,Code No."&amp;" "&amp;"0"&amp;'Guru Kirpa Customer Form'!E126,"State Name:"&amp;" "&amp;'Guru Kirpa Customer Form'!C126&amp;",Code No."&amp;" "&amp;"0"&amp; 'Guru Kirpa Customer Form'!E126)</f>
        <v>State Name: ,Code No. 0</v>
      </c>
    </row>
    <row r="167" spans="1:4" ht="18" x14ac:dyDescent="0.35">
      <c r="A167" s="54">
        <f>'Guru Kirpa Customer Form'!B127</f>
        <v>0</v>
      </c>
      <c r="B167" s="54" t="str">
        <f>IF('Guru Kirpa Customer Form'!F127&lt;&gt;"","GST No." &amp;'Guru Kirpa Customer Form'!F127,"Adhar No." &amp;'Guru Kirpa Customer Form'!G127)</f>
        <v>Adhar No.</v>
      </c>
      <c r="C167" s="54">
        <f t="shared" si="1"/>
        <v>0</v>
      </c>
      <c r="D167" s="54" t="str">
        <f>IF('Guru Kirpa Customer Form'!C127="Haryana","State Name:"&amp;" "&amp;"Haryana,Code No."&amp;" "&amp;"0"&amp;'Guru Kirpa Customer Form'!E127,"State Name:"&amp;" "&amp;'Guru Kirpa Customer Form'!C127&amp;",Code No."&amp;" "&amp;"0"&amp; 'Guru Kirpa Customer Form'!E127)</f>
        <v>State Name: ,Code No. 0</v>
      </c>
    </row>
    <row r="168" spans="1:4" ht="18" x14ac:dyDescent="0.35">
      <c r="A168" s="54">
        <f>'Guru Kirpa Customer Form'!B128</f>
        <v>0</v>
      </c>
      <c r="B168" s="54" t="str">
        <f>IF('Guru Kirpa Customer Form'!F128&lt;&gt;"","GST No." &amp;'Guru Kirpa Customer Form'!F128,"Adhar No." &amp;'Guru Kirpa Customer Form'!G128)</f>
        <v>Adhar No.</v>
      </c>
      <c r="C168" s="54">
        <f t="shared" si="1"/>
        <v>0</v>
      </c>
      <c r="D168" s="54" t="str">
        <f>IF('Guru Kirpa Customer Form'!C128="Haryana","State Name:"&amp;" "&amp;"Haryana,Code No."&amp;" "&amp;"0"&amp;'Guru Kirpa Customer Form'!E128,"State Name:"&amp;" "&amp;'Guru Kirpa Customer Form'!C128&amp;",Code No."&amp;" "&amp;"0"&amp; 'Guru Kirpa Customer Form'!E128)</f>
        <v>State Name: ,Code No. 0</v>
      </c>
    </row>
    <row r="169" spans="1:4" ht="18" x14ac:dyDescent="0.35">
      <c r="A169" s="54">
        <f>'Guru Kirpa Customer Form'!B129</f>
        <v>0</v>
      </c>
      <c r="B169" s="54" t="str">
        <f>IF('Guru Kirpa Customer Form'!F129&lt;&gt;"","GST No." &amp;'Guru Kirpa Customer Form'!F129,"Adhar No." &amp;'Guru Kirpa Customer Form'!G129)</f>
        <v>Adhar No.</v>
      </c>
      <c r="C169" s="54">
        <f t="shared" si="1"/>
        <v>0</v>
      </c>
      <c r="D169" s="54" t="str">
        <f>IF('Guru Kirpa Customer Form'!C129="Haryana","State Name:"&amp;" "&amp;"Haryana,Code No."&amp;" "&amp;"0"&amp;'Guru Kirpa Customer Form'!E129,"State Name:"&amp;" "&amp;'Guru Kirpa Customer Form'!C129&amp;",Code No."&amp;" "&amp;"0"&amp; 'Guru Kirpa Customer Form'!E129)</f>
        <v>State Name: ,Code No. 0</v>
      </c>
    </row>
    <row r="170" spans="1:4" ht="18" x14ac:dyDescent="0.35">
      <c r="A170" s="54">
        <f>'Guru Kirpa Customer Form'!B130</f>
        <v>0</v>
      </c>
      <c r="B170" s="54" t="str">
        <f>IF('Guru Kirpa Customer Form'!F130&lt;&gt;"","GST No." &amp;'Guru Kirpa Customer Form'!F130,"Adhar No." &amp;'Guru Kirpa Customer Form'!G130)</f>
        <v>Adhar No.</v>
      </c>
      <c r="C170" s="54">
        <f t="shared" si="1"/>
        <v>0</v>
      </c>
      <c r="D170" s="54" t="str">
        <f>IF('Guru Kirpa Customer Form'!C130="Haryana","State Name:"&amp;" "&amp;"Haryana,Code No."&amp;" "&amp;"0"&amp;'Guru Kirpa Customer Form'!E130,"State Name:"&amp;" "&amp;'Guru Kirpa Customer Form'!C130&amp;",Code No."&amp;" "&amp;"0"&amp; 'Guru Kirpa Customer Form'!E130)</f>
        <v>State Name: ,Code No. 0</v>
      </c>
    </row>
    <row r="171" spans="1:4" ht="18" x14ac:dyDescent="0.35">
      <c r="A171" s="54">
        <f>'Guru Kirpa Customer Form'!B131</f>
        <v>0</v>
      </c>
      <c r="B171" s="54" t="str">
        <f>IF('Guru Kirpa Customer Form'!F131&lt;&gt;"","GST No." &amp;'Guru Kirpa Customer Form'!F131,"Adhar No." &amp;'Guru Kirpa Customer Form'!G131)</f>
        <v>Adhar No.</v>
      </c>
      <c r="C171" s="54">
        <f t="shared" ref="C171:C234" si="2">A171</f>
        <v>0</v>
      </c>
      <c r="D171" s="54" t="str">
        <f>IF('Guru Kirpa Customer Form'!C131="Haryana","State Name:"&amp;" "&amp;"Haryana,Code No."&amp;" "&amp;"0"&amp;'Guru Kirpa Customer Form'!E131,"State Name:"&amp;" "&amp;'Guru Kirpa Customer Form'!C131&amp;",Code No."&amp;" "&amp;"0"&amp; 'Guru Kirpa Customer Form'!E131)</f>
        <v>State Name: ,Code No. 0</v>
      </c>
    </row>
    <row r="172" spans="1:4" ht="18" x14ac:dyDescent="0.35">
      <c r="A172" s="54">
        <f>'Guru Kirpa Customer Form'!B132</f>
        <v>0</v>
      </c>
      <c r="B172" s="54" t="str">
        <f>IF('Guru Kirpa Customer Form'!F132&lt;&gt;"","GST No." &amp;'Guru Kirpa Customer Form'!F132,"Adhar No." &amp;'Guru Kirpa Customer Form'!G132)</f>
        <v>Adhar No.</v>
      </c>
      <c r="C172" s="54">
        <f t="shared" si="2"/>
        <v>0</v>
      </c>
      <c r="D172" s="54" t="str">
        <f>IF('Guru Kirpa Customer Form'!C132="Haryana","State Name:"&amp;" "&amp;"Haryana,Code No."&amp;" "&amp;"0"&amp;'Guru Kirpa Customer Form'!E132,"State Name:"&amp;" "&amp;'Guru Kirpa Customer Form'!C132&amp;",Code No."&amp;" "&amp;"0"&amp; 'Guru Kirpa Customer Form'!E132)</f>
        <v>State Name: ,Code No. 0</v>
      </c>
    </row>
    <row r="173" spans="1:4" ht="18" x14ac:dyDescent="0.35">
      <c r="A173" s="54">
        <f>'Guru Kirpa Customer Form'!B133</f>
        <v>0</v>
      </c>
      <c r="B173" s="54" t="str">
        <f>IF('Guru Kirpa Customer Form'!F133&lt;&gt;"","GST No." &amp;'Guru Kirpa Customer Form'!F133,"Adhar No." &amp;'Guru Kirpa Customer Form'!G133)</f>
        <v>Adhar No.</v>
      </c>
      <c r="C173" s="54">
        <f t="shared" si="2"/>
        <v>0</v>
      </c>
      <c r="D173" s="54" t="str">
        <f>IF('Guru Kirpa Customer Form'!C133="Haryana","State Name:"&amp;" "&amp;"Haryana,Code No."&amp;" "&amp;"0"&amp;'Guru Kirpa Customer Form'!E133,"State Name:"&amp;" "&amp;'Guru Kirpa Customer Form'!C133&amp;",Code No."&amp;" "&amp;"0"&amp; 'Guru Kirpa Customer Form'!E133)</f>
        <v>State Name: ,Code No. 0</v>
      </c>
    </row>
    <row r="174" spans="1:4" ht="18" x14ac:dyDescent="0.35">
      <c r="A174" s="54">
        <f>'Guru Kirpa Customer Form'!B134</f>
        <v>0</v>
      </c>
      <c r="B174" s="54" t="str">
        <f>IF('Guru Kirpa Customer Form'!F134&lt;&gt;"","GST No." &amp;'Guru Kirpa Customer Form'!F134,"Adhar No." &amp;'Guru Kirpa Customer Form'!G134)</f>
        <v>Adhar No.</v>
      </c>
      <c r="C174" s="54">
        <f t="shared" si="2"/>
        <v>0</v>
      </c>
      <c r="D174" s="54" t="str">
        <f>IF('Guru Kirpa Customer Form'!C134="Haryana","State Name:"&amp;" "&amp;"Haryana,Code No."&amp;" "&amp;"0"&amp;'Guru Kirpa Customer Form'!E134,"State Name:"&amp;" "&amp;'Guru Kirpa Customer Form'!C134&amp;",Code No."&amp;" "&amp;"0"&amp; 'Guru Kirpa Customer Form'!E134)</f>
        <v>State Name: ,Code No. 0</v>
      </c>
    </row>
    <row r="175" spans="1:4" ht="18" x14ac:dyDescent="0.35">
      <c r="A175" s="54">
        <f>'Guru Kirpa Customer Form'!B135</f>
        <v>0</v>
      </c>
      <c r="B175" s="54" t="str">
        <f>IF('Guru Kirpa Customer Form'!F135&lt;&gt;"","GST No." &amp;'Guru Kirpa Customer Form'!F135,"Adhar No." &amp;'Guru Kirpa Customer Form'!G135)</f>
        <v>Adhar No.</v>
      </c>
      <c r="C175" s="54">
        <f t="shared" si="2"/>
        <v>0</v>
      </c>
      <c r="D175" s="54" t="str">
        <f>IF('Guru Kirpa Customer Form'!C135="Haryana","State Name:"&amp;" "&amp;"Haryana,Code No."&amp;" "&amp;"0"&amp;'Guru Kirpa Customer Form'!E135,"State Name:"&amp;" "&amp;'Guru Kirpa Customer Form'!C135&amp;",Code No."&amp;" "&amp;"0"&amp; 'Guru Kirpa Customer Form'!E135)</f>
        <v>State Name: ,Code No. 0</v>
      </c>
    </row>
    <row r="176" spans="1:4" ht="18" x14ac:dyDescent="0.35">
      <c r="A176" s="54">
        <f>'Guru Kirpa Customer Form'!B136</f>
        <v>0</v>
      </c>
      <c r="B176" s="54" t="str">
        <f>IF('Guru Kirpa Customer Form'!F136&lt;&gt;"","GST No." &amp;'Guru Kirpa Customer Form'!F136,"Adhar No." &amp;'Guru Kirpa Customer Form'!G136)</f>
        <v>Adhar No.</v>
      </c>
      <c r="C176" s="54">
        <f t="shared" si="2"/>
        <v>0</v>
      </c>
      <c r="D176" s="54" t="str">
        <f>IF('Guru Kirpa Customer Form'!C136="Haryana","State Name:"&amp;" "&amp;"Haryana,Code No."&amp;" "&amp;"0"&amp;'Guru Kirpa Customer Form'!E136,"State Name:"&amp;" "&amp;'Guru Kirpa Customer Form'!C136&amp;",Code No."&amp;" "&amp;"0"&amp; 'Guru Kirpa Customer Form'!E136)</f>
        <v>State Name: ,Code No. 0</v>
      </c>
    </row>
    <row r="177" spans="1:4" ht="18" x14ac:dyDescent="0.35">
      <c r="A177" s="54">
        <f>'Guru Kirpa Customer Form'!B137</f>
        <v>0</v>
      </c>
      <c r="B177" s="54" t="str">
        <f>IF('Guru Kirpa Customer Form'!F137&lt;&gt;"","GST No." &amp;'Guru Kirpa Customer Form'!F137,"Adhar No." &amp;'Guru Kirpa Customer Form'!G137)</f>
        <v>Adhar No.</v>
      </c>
      <c r="C177" s="54">
        <f t="shared" si="2"/>
        <v>0</v>
      </c>
      <c r="D177" s="54" t="str">
        <f>IF('Guru Kirpa Customer Form'!C137="Haryana","State Name:"&amp;" "&amp;"Haryana,Code No."&amp;" "&amp;"0"&amp;'Guru Kirpa Customer Form'!E137,"State Name:"&amp;" "&amp;'Guru Kirpa Customer Form'!C137&amp;",Code No."&amp;" "&amp;"0"&amp; 'Guru Kirpa Customer Form'!E137)</f>
        <v>State Name: ,Code No. 0</v>
      </c>
    </row>
    <row r="178" spans="1:4" ht="18" x14ac:dyDescent="0.35">
      <c r="A178" s="54">
        <f>'Guru Kirpa Customer Form'!B138</f>
        <v>0</v>
      </c>
      <c r="B178" s="54" t="str">
        <f>IF('Guru Kirpa Customer Form'!F138&lt;&gt;"","GST No." &amp;'Guru Kirpa Customer Form'!F138,"Adhar No." &amp;'Guru Kirpa Customer Form'!G138)</f>
        <v>Adhar No.</v>
      </c>
      <c r="C178" s="54">
        <f t="shared" si="2"/>
        <v>0</v>
      </c>
      <c r="D178" s="54" t="str">
        <f>IF('Guru Kirpa Customer Form'!C138="Haryana","State Name:"&amp;" "&amp;"Haryana,Code No."&amp;" "&amp;"0"&amp;'Guru Kirpa Customer Form'!E138,"State Name:"&amp;" "&amp;'Guru Kirpa Customer Form'!C138&amp;",Code No."&amp;" "&amp;"0"&amp; 'Guru Kirpa Customer Form'!E138)</f>
        <v>State Name: ,Code No. 0</v>
      </c>
    </row>
    <row r="179" spans="1:4" ht="18" x14ac:dyDescent="0.35">
      <c r="A179" s="54">
        <f>'Guru Kirpa Customer Form'!B139</f>
        <v>0</v>
      </c>
      <c r="B179" s="54" t="str">
        <f>IF('Guru Kirpa Customer Form'!F139&lt;&gt;"","GST No." &amp;'Guru Kirpa Customer Form'!F139,"Adhar No." &amp;'Guru Kirpa Customer Form'!G139)</f>
        <v>Adhar No.</v>
      </c>
      <c r="C179" s="54">
        <f t="shared" si="2"/>
        <v>0</v>
      </c>
      <c r="D179" s="54" t="str">
        <f>IF('Guru Kirpa Customer Form'!C139="Haryana","State Name:"&amp;" "&amp;"Haryana,Code No."&amp;" "&amp;"0"&amp;'Guru Kirpa Customer Form'!E139,"State Name:"&amp;" "&amp;'Guru Kirpa Customer Form'!C139&amp;",Code No."&amp;" "&amp;"0"&amp; 'Guru Kirpa Customer Form'!E139)</f>
        <v>State Name: ,Code No. 0</v>
      </c>
    </row>
    <row r="180" spans="1:4" ht="18" x14ac:dyDescent="0.35">
      <c r="A180" s="54">
        <f>'Guru Kirpa Customer Form'!B140</f>
        <v>0</v>
      </c>
      <c r="B180" s="54" t="str">
        <f>IF('Guru Kirpa Customer Form'!F140&lt;&gt;"","GST No." &amp;'Guru Kirpa Customer Form'!F140,"Adhar No." &amp;'Guru Kirpa Customer Form'!G140)</f>
        <v>Adhar No.</v>
      </c>
      <c r="C180" s="54">
        <f t="shared" si="2"/>
        <v>0</v>
      </c>
      <c r="D180" s="54" t="str">
        <f>IF('Guru Kirpa Customer Form'!C140="Haryana","State Name:"&amp;" "&amp;"Haryana,Code No."&amp;" "&amp;"0"&amp;'Guru Kirpa Customer Form'!E140,"State Name:"&amp;" "&amp;'Guru Kirpa Customer Form'!C140&amp;",Code No."&amp;" "&amp;"0"&amp; 'Guru Kirpa Customer Form'!E140)</f>
        <v>State Name: ,Code No. 0</v>
      </c>
    </row>
    <row r="181" spans="1:4" ht="18" x14ac:dyDescent="0.35">
      <c r="A181" s="54">
        <f>'Guru Kirpa Customer Form'!B141</f>
        <v>0</v>
      </c>
      <c r="B181" s="54" t="str">
        <f>IF('Guru Kirpa Customer Form'!F141&lt;&gt;"","GST No." &amp;'Guru Kirpa Customer Form'!F141,"Adhar No." &amp;'Guru Kirpa Customer Form'!G141)</f>
        <v>Adhar No.</v>
      </c>
      <c r="C181" s="54">
        <f t="shared" si="2"/>
        <v>0</v>
      </c>
      <c r="D181" s="54" t="str">
        <f>IF('Guru Kirpa Customer Form'!C141="Haryana","State Name:"&amp;" "&amp;"Haryana,Code No."&amp;" "&amp;"0"&amp;'Guru Kirpa Customer Form'!E141,"State Name:"&amp;" "&amp;'Guru Kirpa Customer Form'!C141&amp;",Code No."&amp;" "&amp;"0"&amp; 'Guru Kirpa Customer Form'!E141)</f>
        <v>State Name: ,Code No. 0</v>
      </c>
    </row>
    <row r="182" spans="1:4" ht="18" x14ac:dyDescent="0.35">
      <c r="A182" s="54">
        <f>'Guru Kirpa Customer Form'!B142</f>
        <v>0</v>
      </c>
      <c r="B182" s="54" t="str">
        <f>IF('Guru Kirpa Customer Form'!F142&lt;&gt;"","GST No." &amp;'Guru Kirpa Customer Form'!F142,"Adhar No." &amp;'Guru Kirpa Customer Form'!G142)</f>
        <v>Adhar No.</v>
      </c>
      <c r="C182" s="54">
        <f t="shared" si="2"/>
        <v>0</v>
      </c>
      <c r="D182" s="54" t="str">
        <f>IF('Guru Kirpa Customer Form'!C142="Haryana","State Name:"&amp;" "&amp;"Haryana,Code No."&amp;" "&amp;"0"&amp;'Guru Kirpa Customer Form'!E142,"State Name:"&amp;" "&amp;'Guru Kirpa Customer Form'!C142&amp;",Code No."&amp;" "&amp;"0"&amp; 'Guru Kirpa Customer Form'!E142)</f>
        <v>State Name: ,Code No. 0</v>
      </c>
    </row>
    <row r="183" spans="1:4" ht="18" x14ac:dyDescent="0.35">
      <c r="A183" s="54">
        <f>'Guru Kirpa Customer Form'!B143</f>
        <v>0</v>
      </c>
      <c r="B183" s="54" t="str">
        <f>IF('Guru Kirpa Customer Form'!F143&lt;&gt;"","GST No." &amp;'Guru Kirpa Customer Form'!F143,"Adhar No." &amp;'Guru Kirpa Customer Form'!G143)</f>
        <v>Adhar No.</v>
      </c>
      <c r="C183" s="54">
        <f t="shared" si="2"/>
        <v>0</v>
      </c>
      <c r="D183" s="54" t="str">
        <f>IF('Guru Kirpa Customer Form'!C143="Haryana","State Name:"&amp;" "&amp;"Haryana,Code No."&amp;" "&amp;"0"&amp;'Guru Kirpa Customer Form'!E143,"State Name:"&amp;" "&amp;'Guru Kirpa Customer Form'!C143&amp;",Code No."&amp;" "&amp;"0"&amp; 'Guru Kirpa Customer Form'!E143)</f>
        <v>State Name: ,Code No. 0</v>
      </c>
    </row>
    <row r="184" spans="1:4" ht="18" x14ac:dyDescent="0.35">
      <c r="A184" s="54">
        <f>'Guru Kirpa Customer Form'!B144</f>
        <v>0</v>
      </c>
      <c r="B184" s="54" t="str">
        <f>IF('Guru Kirpa Customer Form'!F144&lt;&gt;"","GST No." &amp;'Guru Kirpa Customer Form'!F144,"Adhar No." &amp;'Guru Kirpa Customer Form'!G144)</f>
        <v>Adhar No.</v>
      </c>
      <c r="C184" s="54">
        <f t="shared" si="2"/>
        <v>0</v>
      </c>
      <c r="D184" s="54" t="str">
        <f>IF('Guru Kirpa Customer Form'!C144="Haryana","State Name:"&amp;" "&amp;"Haryana,Code No."&amp;" "&amp;"0"&amp;'Guru Kirpa Customer Form'!E144,"State Name:"&amp;" "&amp;'Guru Kirpa Customer Form'!C144&amp;",Code No."&amp;" "&amp;"0"&amp; 'Guru Kirpa Customer Form'!E144)</f>
        <v>State Name: ,Code No. 0</v>
      </c>
    </row>
    <row r="185" spans="1:4" ht="18" x14ac:dyDescent="0.35">
      <c r="A185" s="54">
        <f>'Guru Kirpa Customer Form'!B145</f>
        <v>0</v>
      </c>
      <c r="B185" s="54" t="str">
        <f>IF('Guru Kirpa Customer Form'!F145&lt;&gt;"","GST No." &amp;'Guru Kirpa Customer Form'!F145,"Adhar No." &amp;'Guru Kirpa Customer Form'!G145)</f>
        <v>Adhar No.</v>
      </c>
      <c r="C185" s="54">
        <f t="shared" si="2"/>
        <v>0</v>
      </c>
      <c r="D185" s="54" t="str">
        <f>IF('Guru Kirpa Customer Form'!C145="Haryana","State Name:"&amp;" "&amp;"Haryana,Code No."&amp;" "&amp;"0"&amp;'Guru Kirpa Customer Form'!E145,"State Name:"&amp;" "&amp;'Guru Kirpa Customer Form'!C145&amp;",Code No."&amp;" "&amp;"0"&amp; 'Guru Kirpa Customer Form'!E145)</f>
        <v>State Name: ,Code No. 0</v>
      </c>
    </row>
    <row r="186" spans="1:4" ht="18" x14ac:dyDescent="0.35">
      <c r="A186" s="54">
        <f>'Guru Kirpa Customer Form'!B146</f>
        <v>0</v>
      </c>
      <c r="B186" s="54" t="str">
        <f>IF('Guru Kirpa Customer Form'!F146&lt;&gt;"","GST No." &amp;'Guru Kirpa Customer Form'!F146,"Adhar No." &amp;'Guru Kirpa Customer Form'!G146)</f>
        <v>Adhar No.</v>
      </c>
      <c r="C186" s="54">
        <f t="shared" si="2"/>
        <v>0</v>
      </c>
      <c r="D186" s="54" t="str">
        <f>IF('Guru Kirpa Customer Form'!C146="Haryana","State Name:"&amp;" "&amp;"Haryana,Code No."&amp;" "&amp;"0"&amp;'Guru Kirpa Customer Form'!E146,"State Name:"&amp;" "&amp;'Guru Kirpa Customer Form'!C146&amp;",Code No."&amp;" "&amp;"0"&amp; 'Guru Kirpa Customer Form'!E146)</f>
        <v>State Name: ,Code No. 0</v>
      </c>
    </row>
    <row r="187" spans="1:4" ht="18" x14ac:dyDescent="0.35">
      <c r="A187" s="54">
        <f>'Guru Kirpa Customer Form'!B147</f>
        <v>0</v>
      </c>
      <c r="B187" s="54" t="str">
        <f>IF('Guru Kirpa Customer Form'!F147&lt;&gt;"","GST No." &amp;'Guru Kirpa Customer Form'!F147,"Adhar No." &amp;'Guru Kirpa Customer Form'!G147)</f>
        <v>Adhar No.</v>
      </c>
      <c r="C187" s="54">
        <f t="shared" si="2"/>
        <v>0</v>
      </c>
      <c r="D187" s="54" t="str">
        <f>IF('Guru Kirpa Customer Form'!C147="Haryana","State Name:"&amp;" "&amp;"Haryana,Code No."&amp;" "&amp;"0"&amp;'Guru Kirpa Customer Form'!E147,"State Name:"&amp;" "&amp;'Guru Kirpa Customer Form'!C147&amp;",Code No."&amp;" "&amp;"0"&amp; 'Guru Kirpa Customer Form'!E147)</f>
        <v>State Name: ,Code No. 0</v>
      </c>
    </row>
    <row r="188" spans="1:4" ht="18" x14ac:dyDescent="0.35">
      <c r="A188" s="54">
        <f>'Guru Kirpa Customer Form'!B148</f>
        <v>0</v>
      </c>
      <c r="B188" s="54" t="str">
        <f>IF('Guru Kirpa Customer Form'!F148&lt;&gt;"","GST No." &amp;'Guru Kirpa Customer Form'!F148,"Adhar No." &amp;'Guru Kirpa Customer Form'!G148)</f>
        <v>Adhar No.</v>
      </c>
      <c r="C188" s="54">
        <f t="shared" si="2"/>
        <v>0</v>
      </c>
      <c r="D188" s="54" t="str">
        <f>IF('Guru Kirpa Customer Form'!C148="Haryana","State Name:"&amp;" "&amp;"Haryana,Code No."&amp;" "&amp;"0"&amp;'Guru Kirpa Customer Form'!E148,"State Name:"&amp;" "&amp;'Guru Kirpa Customer Form'!C148&amp;",Code No."&amp;" "&amp;"0"&amp; 'Guru Kirpa Customer Form'!E148)</f>
        <v>State Name: ,Code No. 0</v>
      </c>
    </row>
    <row r="189" spans="1:4" ht="18" x14ac:dyDescent="0.35">
      <c r="A189" s="54">
        <f>'Guru Kirpa Customer Form'!B149</f>
        <v>0</v>
      </c>
      <c r="B189" s="54" t="str">
        <f>IF('Guru Kirpa Customer Form'!F149&lt;&gt;"","GST No." &amp;'Guru Kirpa Customer Form'!F149,"Adhar No." &amp;'Guru Kirpa Customer Form'!G149)</f>
        <v>Adhar No.</v>
      </c>
      <c r="C189" s="54">
        <f t="shared" si="2"/>
        <v>0</v>
      </c>
      <c r="D189" s="54" t="str">
        <f>IF('Guru Kirpa Customer Form'!C149="Haryana","State Name:"&amp;" "&amp;"Haryana,Code No."&amp;" "&amp;"0"&amp;'Guru Kirpa Customer Form'!E149,"State Name:"&amp;" "&amp;'Guru Kirpa Customer Form'!C149&amp;",Code No."&amp;" "&amp;"0"&amp; 'Guru Kirpa Customer Form'!E149)</f>
        <v>State Name: ,Code No. 0</v>
      </c>
    </row>
    <row r="190" spans="1:4" ht="18" x14ac:dyDescent="0.35">
      <c r="A190" s="54">
        <f>'Guru Kirpa Customer Form'!B150</f>
        <v>0</v>
      </c>
      <c r="B190" s="54" t="str">
        <f>IF('Guru Kirpa Customer Form'!F150&lt;&gt;"","GST No." &amp;'Guru Kirpa Customer Form'!F150,"Adhar No." &amp;'Guru Kirpa Customer Form'!G150)</f>
        <v>Adhar No.</v>
      </c>
      <c r="C190" s="54">
        <f t="shared" si="2"/>
        <v>0</v>
      </c>
      <c r="D190" s="54" t="str">
        <f>IF('Guru Kirpa Customer Form'!C150="Haryana","State Name:"&amp;" "&amp;"Haryana,Code No."&amp;" "&amp;"0"&amp;'Guru Kirpa Customer Form'!E150,"State Name:"&amp;" "&amp;'Guru Kirpa Customer Form'!C150&amp;",Code No."&amp;" "&amp;"0"&amp; 'Guru Kirpa Customer Form'!E150)</f>
        <v>State Name: ,Code No. 0</v>
      </c>
    </row>
    <row r="191" spans="1:4" ht="18" x14ac:dyDescent="0.35">
      <c r="A191" s="54">
        <f>'Guru Kirpa Customer Form'!B151</f>
        <v>0</v>
      </c>
      <c r="B191" s="54" t="str">
        <f>IF('Guru Kirpa Customer Form'!F151&lt;&gt;"","GST No." &amp;'Guru Kirpa Customer Form'!F151,"Adhar No." &amp;'Guru Kirpa Customer Form'!G151)</f>
        <v>Adhar No.</v>
      </c>
      <c r="C191" s="54">
        <f t="shared" si="2"/>
        <v>0</v>
      </c>
      <c r="D191" s="54" t="str">
        <f>IF('Guru Kirpa Customer Form'!C151="Haryana","State Name:"&amp;" "&amp;"Haryana,Code No."&amp;" "&amp;"0"&amp;'Guru Kirpa Customer Form'!E151,"State Name:"&amp;" "&amp;'Guru Kirpa Customer Form'!C151&amp;",Code No."&amp;" "&amp;"0"&amp; 'Guru Kirpa Customer Form'!E151)</f>
        <v>State Name: ,Code No. 0</v>
      </c>
    </row>
    <row r="192" spans="1:4" ht="18" x14ac:dyDescent="0.35">
      <c r="A192" s="54">
        <f>'Guru Kirpa Customer Form'!B152</f>
        <v>0</v>
      </c>
      <c r="B192" s="54" t="str">
        <f>IF('Guru Kirpa Customer Form'!F152&lt;&gt;"","GST No." &amp;'Guru Kirpa Customer Form'!F152,"Adhar No." &amp;'Guru Kirpa Customer Form'!G152)</f>
        <v>Adhar No.</v>
      </c>
      <c r="C192" s="54">
        <f t="shared" si="2"/>
        <v>0</v>
      </c>
      <c r="D192" s="54" t="str">
        <f>IF('Guru Kirpa Customer Form'!C152="Haryana","State Name:"&amp;" "&amp;"Haryana,Code No."&amp;" "&amp;"0"&amp;'Guru Kirpa Customer Form'!E152,"State Name:"&amp;" "&amp;'Guru Kirpa Customer Form'!C152&amp;",Code No."&amp;" "&amp;"0"&amp; 'Guru Kirpa Customer Form'!E152)</f>
        <v>State Name: ,Code No. 0</v>
      </c>
    </row>
    <row r="193" spans="1:4" ht="18" x14ac:dyDescent="0.35">
      <c r="A193" s="54">
        <f>'Guru Kirpa Customer Form'!B153</f>
        <v>0</v>
      </c>
      <c r="B193" s="54" t="str">
        <f>IF('Guru Kirpa Customer Form'!F153&lt;&gt;"","GST No." &amp;'Guru Kirpa Customer Form'!F153,"Adhar No." &amp;'Guru Kirpa Customer Form'!G153)</f>
        <v>Adhar No.</v>
      </c>
      <c r="C193" s="54">
        <f t="shared" si="2"/>
        <v>0</v>
      </c>
      <c r="D193" s="54" t="str">
        <f>IF('Guru Kirpa Customer Form'!C153="Haryana","State Name:"&amp;" "&amp;"Haryana,Code No."&amp;" "&amp;"0"&amp;'Guru Kirpa Customer Form'!E153,"State Name:"&amp;" "&amp;'Guru Kirpa Customer Form'!C153&amp;",Code No."&amp;" "&amp;"0"&amp; 'Guru Kirpa Customer Form'!E153)</f>
        <v>State Name: ,Code No. 0</v>
      </c>
    </row>
    <row r="194" spans="1:4" ht="18" x14ac:dyDescent="0.35">
      <c r="A194" s="54">
        <f>'Guru Kirpa Customer Form'!B154</f>
        <v>0</v>
      </c>
      <c r="B194" s="54" t="str">
        <f>IF('Guru Kirpa Customer Form'!F154&lt;&gt;"","GST No." &amp;'Guru Kirpa Customer Form'!F154,"Adhar No." &amp;'Guru Kirpa Customer Form'!G154)</f>
        <v>Adhar No.</v>
      </c>
      <c r="C194" s="54">
        <f t="shared" si="2"/>
        <v>0</v>
      </c>
      <c r="D194" s="54" t="str">
        <f>IF('Guru Kirpa Customer Form'!C154="Haryana","State Name:"&amp;" "&amp;"Haryana,Code No."&amp;" "&amp;"0"&amp;'Guru Kirpa Customer Form'!E154,"State Name:"&amp;" "&amp;'Guru Kirpa Customer Form'!C154&amp;",Code No."&amp;" "&amp;"0"&amp; 'Guru Kirpa Customer Form'!E154)</f>
        <v>State Name: ,Code No. 0</v>
      </c>
    </row>
    <row r="195" spans="1:4" ht="18" x14ac:dyDescent="0.35">
      <c r="A195" s="54">
        <f>'Guru Kirpa Customer Form'!B155</f>
        <v>0</v>
      </c>
      <c r="B195" s="54" t="str">
        <f>IF('Guru Kirpa Customer Form'!F155&lt;&gt;"","GST No." &amp;'Guru Kirpa Customer Form'!F155,"Adhar No." &amp;'Guru Kirpa Customer Form'!G155)</f>
        <v>Adhar No.</v>
      </c>
      <c r="C195" s="54">
        <f t="shared" si="2"/>
        <v>0</v>
      </c>
      <c r="D195" s="54" t="str">
        <f>IF('Guru Kirpa Customer Form'!C155="Haryana","State Name:"&amp;" "&amp;"Haryana,Code No."&amp;" "&amp;"0"&amp;'Guru Kirpa Customer Form'!E155,"State Name:"&amp;" "&amp;'Guru Kirpa Customer Form'!C155&amp;",Code No."&amp;" "&amp;"0"&amp; 'Guru Kirpa Customer Form'!E155)</f>
        <v>State Name: ,Code No. 0</v>
      </c>
    </row>
    <row r="196" spans="1:4" ht="18" x14ac:dyDescent="0.35">
      <c r="A196" s="54">
        <f>'Guru Kirpa Customer Form'!B156</f>
        <v>0</v>
      </c>
      <c r="B196" s="54" t="str">
        <f>IF('Guru Kirpa Customer Form'!F156&lt;&gt;"","GST No." &amp;'Guru Kirpa Customer Form'!F156,"Adhar No." &amp;'Guru Kirpa Customer Form'!G156)</f>
        <v>Adhar No.</v>
      </c>
      <c r="C196" s="54">
        <f t="shared" si="2"/>
        <v>0</v>
      </c>
      <c r="D196" s="54" t="str">
        <f>IF('Guru Kirpa Customer Form'!C156="Haryana","State Name:"&amp;" "&amp;"Haryana,Code No."&amp;" "&amp;"0"&amp;'Guru Kirpa Customer Form'!E156,"State Name:"&amp;" "&amp;'Guru Kirpa Customer Form'!C156&amp;",Code No."&amp;" "&amp;"0"&amp; 'Guru Kirpa Customer Form'!E156)</f>
        <v>State Name: ,Code No. 0</v>
      </c>
    </row>
    <row r="197" spans="1:4" ht="18" x14ac:dyDescent="0.35">
      <c r="A197" s="54">
        <f>'Guru Kirpa Customer Form'!B157</f>
        <v>0</v>
      </c>
      <c r="B197" s="54" t="str">
        <f>IF('Guru Kirpa Customer Form'!F157&lt;&gt;"","GST No." &amp;'Guru Kirpa Customer Form'!F157,"Adhar No." &amp;'Guru Kirpa Customer Form'!G157)</f>
        <v>Adhar No.</v>
      </c>
      <c r="C197" s="54">
        <f t="shared" si="2"/>
        <v>0</v>
      </c>
      <c r="D197" s="54" t="str">
        <f>IF('Guru Kirpa Customer Form'!C157="Haryana","State Name:"&amp;" "&amp;"Haryana,Code No."&amp;" "&amp;"0"&amp;'Guru Kirpa Customer Form'!E157,"State Name:"&amp;" "&amp;'Guru Kirpa Customer Form'!C157&amp;",Code No."&amp;" "&amp;"0"&amp; 'Guru Kirpa Customer Form'!E157)</f>
        <v>State Name: ,Code No. 0</v>
      </c>
    </row>
    <row r="198" spans="1:4" ht="18" x14ac:dyDescent="0.35">
      <c r="A198" s="54">
        <f>'Guru Kirpa Customer Form'!B158</f>
        <v>0</v>
      </c>
      <c r="B198" s="54" t="str">
        <f>IF('Guru Kirpa Customer Form'!F158&lt;&gt;"","GST No." &amp;'Guru Kirpa Customer Form'!F158,"Adhar No." &amp;'Guru Kirpa Customer Form'!G158)</f>
        <v>Adhar No.</v>
      </c>
      <c r="C198" s="54">
        <f t="shared" si="2"/>
        <v>0</v>
      </c>
      <c r="D198" s="54" t="str">
        <f>IF('Guru Kirpa Customer Form'!C158="Haryana","State Name:"&amp;" "&amp;"Haryana,Code No."&amp;" "&amp;"0"&amp;'Guru Kirpa Customer Form'!E158,"State Name:"&amp;" "&amp;'Guru Kirpa Customer Form'!C158&amp;",Code No."&amp;" "&amp;"0"&amp; 'Guru Kirpa Customer Form'!E158)</f>
        <v>State Name: ,Code No. 0</v>
      </c>
    </row>
    <row r="199" spans="1:4" ht="18" x14ac:dyDescent="0.35">
      <c r="A199" s="54">
        <f>'Guru Kirpa Customer Form'!B159</f>
        <v>0</v>
      </c>
      <c r="B199" s="54" t="str">
        <f>IF('Guru Kirpa Customer Form'!F159&lt;&gt;"","GST No." &amp;'Guru Kirpa Customer Form'!F159,"Adhar No." &amp;'Guru Kirpa Customer Form'!G159)</f>
        <v>Adhar No.</v>
      </c>
      <c r="C199" s="54">
        <f t="shared" si="2"/>
        <v>0</v>
      </c>
      <c r="D199" s="54" t="str">
        <f>IF('Guru Kirpa Customer Form'!C159="Haryana","State Name:"&amp;" "&amp;"Haryana,Code No."&amp;" "&amp;"0"&amp;'Guru Kirpa Customer Form'!E159,"State Name:"&amp;" "&amp;'Guru Kirpa Customer Form'!C159&amp;",Code No."&amp;" "&amp;"0"&amp; 'Guru Kirpa Customer Form'!E159)</f>
        <v>State Name: ,Code No. 0</v>
      </c>
    </row>
    <row r="200" spans="1:4" ht="18" x14ac:dyDescent="0.35">
      <c r="A200" s="54">
        <f>'Guru Kirpa Customer Form'!B160</f>
        <v>0</v>
      </c>
      <c r="B200" s="54" t="str">
        <f>IF('Guru Kirpa Customer Form'!F160&lt;&gt;"","GST No." &amp;'Guru Kirpa Customer Form'!F160,"Adhar No." &amp;'Guru Kirpa Customer Form'!G160)</f>
        <v>Adhar No.</v>
      </c>
      <c r="C200" s="54">
        <f t="shared" si="2"/>
        <v>0</v>
      </c>
      <c r="D200" s="54" t="str">
        <f>IF('Guru Kirpa Customer Form'!C160="Haryana","State Name:"&amp;" "&amp;"Haryana,Code No."&amp;" "&amp;"0"&amp;'Guru Kirpa Customer Form'!E160,"State Name:"&amp;" "&amp;'Guru Kirpa Customer Form'!C160&amp;",Code No."&amp;" "&amp;"0"&amp; 'Guru Kirpa Customer Form'!E160)</f>
        <v>State Name: ,Code No. 0</v>
      </c>
    </row>
    <row r="201" spans="1:4" ht="18" x14ac:dyDescent="0.35">
      <c r="A201" s="54">
        <f>'Guru Kirpa Customer Form'!B161</f>
        <v>0</v>
      </c>
      <c r="B201" s="54" t="str">
        <f>IF('Guru Kirpa Customer Form'!F161&lt;&gt;"","GST No." &amp;'Guru Kirpa Customer Form'!F161,"Adhar No." &amp;'Guru Kirpa Customer Form'!G161)</f>
        <v>Adhar No.</v>
      </c>
      <c r="C201" s="54">
        <f t="shared" si="2"/>
        <v>0</v>
      </c>
      <c r="D201" s="54" t="str">
        <f>IF('Guru Kirpa Customer Form'!C161="Haryana","State Name:"&amp;" "&amp;"Haryana,Code No."&amp;" "&amp;"0"&amp;'Guru Kirpa Customer Form'!E161,"State Name:"&amp;" "&amp;'Guru Kirpa Customer Form'!C161&amp;",Code No."&amp;" "&amp;"0"&amp; 'Guru Kirpa Customer Form'!E161)</f>
        <v>State Name: ,Code No. 0</v>
      </c>
    </row>
    <row r="202" spans="1:4" ht="18" x14ac:dyDescent="0.35">
      <c r="A202" s="54">
        <f>'Guru Kirpa Customer Form'!B162</f>
        <v>0</v>
      </c>
      <c r="B202" s="54" t="str">
        <f>IF('Guru Kirpa Customer Form'!F162&lt;&gt;"","GST No." &amp;'Guru Kirpa Customer Form'!F162,"Adhar No." &amp;'Guru Kirpa Customer Form'!G162)</f>
        <v>Adhar No.</v>
      </c>
      <c r="C202" s="54">
        <f t="shared" si="2"/>
        <v>0</v>
      </c>
      <c r="D202" s="54" t="str">
        <f>IF('Guru Kirpa Customer Form'!C162="Haryana","State Name:"&amp;" "&amp;"Haryana,Code No."&amp;" "&amp;"0"&amp;'Guru Kirpa Customer Form'!E162,"State Name:"&amp;" "&amp;'Guru Kirpa Customer Form'!C162&amp;",Code No."&amp;" "&amp;"0"&amp; 'Guru Kirpa Customer Form'!E162)</f>
        <v>State Name: ,Code No. 0</v>
      </c>
    </row>
    <row r="203" spans="1:4" ht="18" x14ac:dyDescent="0.35">
      <c r="A203" s="54">
        <f>'Guru Kirpa Customer Form'!B163</f>
        <v>0</v>
      </c>
      <c r="B203" s="54" t="str">
        <f>IF('Guru Kirpa Customer Form'!F163&lt;&gt;"","GST No." &amp;'Guru Kirpa Customer Form'!F163,"Adhar No." &amp;'Guru Kirpa Customer Form'!G163)</f>
        <v>Adhar No.</v>
      </c>
      <c r="C203" s="54">
        <f t="shared" si="2"/>
        <v>0</v>
      </c>
      <c r="D203" s="54" t="str">
        <f>IF('Guru Kirpa Customer Form'!C163="Haryana","State Name:"&amp;" "&amp;"Haryana,Code No."&amp;" "&amp;"0"&amp;'Guru Kirpa Customer Form'!E163,"State Name:"&amp;" "&amp;'Guru Kirpa Customer Form'!C163&amp;",Code No."&amp;" "&amp;"0"&amp; 'Guru Kirpa Customer Form'!E163)</f>
        <v>State Name: ,Code No. 0</v>
      </c>
    </row>
    <row r="204" spans="1:4" ht="18" x14ac:dyDescent="0.35">
      <c r="A204" s="54">
        <f>'Guru Kirpa Customer Form'!B164</f>
        <v>0</v>
      </c>
      <c r="B204" s="54" t="str">
        <f>IF('Guru Kirpa Customer Form'!F164&lt;&gt;"","GST No." &amp;'Guru Kirpa Customer Form'!F164,"Adhar No." &amp;'Guru Kirpa Customer Form'!G164)</f>
        <v>Adhar No.</v>
      </c>
      <c r="C204" s="54">
        <f t="shared" si="2"/>
        <v>0</v>
      </c>
      <c r="D204" s="54" t="str">
        <f>IF('Guru Kirpa Customer Form'!C164="Haryana","State Name:"&amp;" "&amp;"Haryana,Code No."&amp;" "&amp;"0"&amp;'Guru Kirpa Customer Form'!E164,"State Name:"&amp;" "&amp;'Guru Kirpa Customer Form'!C164&amp;",Code No."&amp;" "&amp;"0"&amp; 'Guru Kirpa Customer Form'!E164)</f>
        <v>State Name: ,Code No. 0</v>
      </c>
    </row>
    <row r="205" spans="1:4" ht="18" x14ac:dyDescent="0.35">
      <c r="A205" s="54">
        <f>'Guru Kirpa Customer Form'!B165</f>
        <v>0</v>
      </c>
      <c r="B205" s="54" t="str">
        <f>IF('Guru Kirpa Customer Form'!F165&lt;&gt;"","GST No." &amp;'Guru Kirpa Customer Form'!F165,"Adhar No." &amp;'Guru Kirpa Customer Form'!G165)</f>
        <v>Adhar No.</v>
      </c>
      <c r="C205" s="54">
        <f t="shared" si="2"/>
        <v>0</v>
      </c>
      <c r="D205" s="54" t="str">
        <f>IF('Guru Kirpa Customer Form'!C165="Haryana","State Name:"&amp;" "&amp;"Haryana,Code No."&amp;" "&amp;"0"&amp;'Guru Kirpa Customer Form'!E165,"State Name:"&amp;" "&amp;'Guru Kirpa Customer Form'!C165&amp;",Code No."&amp;" "&amp;"0"&amp; 'Guru Kirpa Customer Form'!E165)</f>
        <v>State Name: ,Code No. 0</v>
      </c>
    </row>
    <row r="206" spans="1:4" ht="18" x14ac:dyDescent="0.35">
      <c r="A206" s="54">
        <f>'Guru Kirpa Customer Form'!B166</f>
        <v>0</v>
      </c>
      <c r="B206" s="54" t="str">
        <f>IF('Guru Kirpa Customer Form'!F166&lt;&gt;"","GST No." &amp;'Guru Kirpa Customer Form'!F166,"Adhar No." &amp;'Guru Kirpa Customer Form'!G166)</f>
        <v>Adhar No.</v>
      </c>
      <c r="C206" s="54">
        <f t="shared" si="2"/>
        <v>0</v>
      </c>
      <c r="D206" s="54" t="str">
        <f>IF('Guru Kirpa Customer Form'!C166="Haryana","State Name:"&amp;" "&amp;"Haryana,Code No."&amp;" "&amp;"0"&amp;'Guru Kirpa Customer Form'!E166,"State Name:"&amp;" "&amp;'Guru Kirpa Customer Form'!C166&amp;",Code No."&amp;" "&amp;"0"&amp; 'Guru Kirpa Customer Form'!E166)</f>
        <v>State Name: ,Code No. 0</v>
      </c>
    </row>
    <row r="207" spans="1:4" ht="18" x14ac:dyDescent="0.35">
      <c r="A207" s="54">
        <f>'Guru Kirpa Customer Form'!B167</f>
        <v>0</v>
      </c>
      <c r="B207" s="54" t="str">
        <f>IF('Guru Kirpa Customer Form'!F167&lt;&gt;"","GST No." &amp;'Guru Kirpa Customer Form'!F167,"Adhar No." &amp;'Guru Kirpa Customer Form'!G167)</f>
        <v>Adhar No.</v>
      </c>
      <c r="C207" s="54">
        <f t="shared" si="2"/>
        <v>0</v>
      </c>
      <c r="D207" s="54" t="str">
        <f>IF('Guru Kirpa Customer Form'!C167="Haryana","State Name:"&amp;" "&amp;"Haryana,Code No."&amp;" "&amp;"0"&amp;'Guru Kirpa Customer Form'!E167,"State Name:"&amp;" "&amp;'Guru Kirpa Customer Form'!C167&amp;",Code No."&amp;" "&amp;"0"&amp; 'Guru Kirpa Customer Form'!E167)</f>
        <v>State Name: ,Code No. 0</v>
      </c>
    </row>
    <row r="208" spans="1:4" ht="18" x14ac:dyDescent="0.35">
      <c r="A208" s="54">
        <f>'Guru Kirpa Customer Form'!B168</f>
        <v>0</v>
      </c>
      <c r="B208" s="54" t="str">
        <f>IF('Guru Kirpa Customer Form'!F168&lt;&gt;"","GST No." &amp;'Guru Kirpa Customer Form'!F168,"Adhar No." &amp;'Guru Kirpa Customer Form'!G168)</f>
        <v>Adhar No.</v>
      </c>
      <c r="C208" s="54">
        <f t="shared" si="2"/>
        <v>0</v>
      </c>
      <c r="D208" s="54" t="str">
        <f>IF('Guru Kirpa Customer Form'!C168="Haryana","State Name:"&amp;" "&amp;"Haryana,Code No."&amp;" "&amp;"0"&amp;'Guru Kirpa Customer Form'!E168,"State Name:"&amp;" "&amp;'Guru Kirpa Customer Form'!C168&amp;",Code No."&amp;" "&amp;"0"&amp; 'Guru Kirpa Customer Form'!E168)</f>
        <v>State Name: ,Code No. 0</v>
      </c>
    </row>
    <row r="209" spans="1:4" ht="18" x14ac:dyDescent="0.35">
      <c r="A209" s="54">
        <f>'Guru Kirpa Customer Form'!B169</f>
        <v>0</v>
      </c>
      <c r="B209" s="54" t="str">
        <f>IF('Guru Kirpa Customer Form'!F169&lt;&gt;"","GST No." &amp;'Guru Kirpa Customer Form'!F169,"Adhar No." &amp;'Guru Kirpa Customer Form'!G169)</f>
        <v>Adhar No.</v>
      </c>
      <c r="C209" s="54">
        <f t="shared" si="2"/>
        <v>0</v>
      </c>
      <c r="D209" s="54" t="str">
        <f>IF('Guru Kirpa Customer Form'!C169="Haryana","State Name:"&amp;" "&amp;"Haryana,Code No."&amp;" "&amp;"0"&amp;'Guru Kirpa Customer Form'!E169,"State Name:"&amp;" "&amp;'Guru Kirpa Customer Form'!C169&amp;",Code No."&amp;" "&amp;"0"&amp; 'Guru Kirpa Customer Form'!E169)</f>
        <v>State Name: ,Code No. 0</v>
      </c>
    </row>
    <row r="210" spans="1:4" ht="18" x14ac:dyDescent="0.35">
      <c r="A210" s="54">
        <f>'Guru Kirpa Customer Form'!B170</f>
        <v>0</v>
      </c>
      <c r="B210" s="54" t="str">
        <f>IF('Guru Kirpa Customer Form'!F170&lt;&gt;"","GST No." &amp;'Guru Kirpa Customer Form'!F170,"Adhar No." &amp;'Guru Kirpa Customer Form'!G170)</f>
        <v>Adhar No.</v>
      </c>
      <c r="C210" s="54">
        <f t="shared" si="2"/>
        <v>0</v>
      </c>
      <c r="D210" s="54" t="str">
        <f>IF('Guru Kirpa Customer Form'!C170="Haryana","State Name:"&amp;" "&amp;"Haryana,Code No."&amp;" "&amp;"0"&amp;'Guru Kirpa Customer Form'!E170,"State Name:"&amp;" "&amp;'Guru Kirpa Customer Form'!C170&amp;",Code No."&amp;" "&amp;"0"&amp; 'Guru Kirpa Customer Form'!E170)</f>
        <v>State Name: ,Code No. 0</v>
      </c>
    </row>
    <row r="211" spans="1:4" ht="18" x14ac:dyDescent="0.35">
      <c r="A211" s="54">
        <f>'Guru Kirpa Customer Form'!B171</f>
        <v>0</v>
      </c>
      <c r="B211" s="54" t="str">
        <f>IF('Guru Kirpa Customer Form'!F171&lt;&gt;"","GST No." &amp;'Guru Kirpa Customer Form'!F171,"Adhar No." &amp;'Guru Kirpa Customer Form'!G171)</f>
        <v>Adhar No.</v>
      </c>
      <c r="C211" s="54">
        <f t="shared" si="2"/>
        <v>0</v>
      </c>
      <c r="D211" s="54" t="str">
        <f>IF('Guru Kirpa Customer Form'!C171="Haryana","State Name:"&amp;" "&amp;"Haryana,Code No."&amp;" "&amp;"0"&amp;'Guru Kirpa Customer Form'!E171,"State Name:"&amp;" "&amp;'Guru Kirpa Customer Form'!C171&amp;",Code No."&amp;" "&amp;"0"&amp; 'Guru Kirpa Customer Form'!E171)</f>
        <v>State Name: ,Code No. 0</v>
      </c>
    </row>
    <row r="212" spans="1:4" ht="18" x14ac:dyDescent="0.35">
      <c r="A212" s="54">
        <f>'Guru Kirpa Customer Form'!B172</f>
        <v>0</v>
      </c>
      <c r="B212" s="54" t="str">
        <f>IF('Guru Kirpa Customer Form'!F172&lt;&gt;"","GST No." &amp;'Guru Kirpa Customer Form'!F172,"Adhar No." &amp;'Guru Kirpa Customer Form'!G172)</f>
        <v>Adhar No.</v>
      </c>
      <c r="C212" s="54">
        <f t="shared" si="2"/>
        <v>0</v>
      </c>
      <c r="D212" s="54" t="str">
        <f>IF('Guru Kirpa Customer Form'!C172="Haryana","State Name:"&amp;" "&amp;"Haryana,Code No."&amp;" "&amp;"0"&amp;'Guru Kirpa Customer Form'!E172,"State Name:"&amp;" "&amp;'Guru Kirpa Customer Form'!C172&amp;",Code No."&amp;" "&amp;"0"&amp; 'Guru Kirpa Customer Form'!E172)</f>
        <v>State Name: ,Code No. 0</v>
      </c>
    </row>
    <row r="213" spans="1:4" ht="18" x14ac:dyDescent="0.35">
      <c r="A213" s="54">
        <f>'Guru Kirpa Customer Form'!B173</f>
        <v>0</v>
      </c>
      <c r="B213" s="54" t="str">
        <f>IF('Guru Kirpa Customer Form'!F173&lt;&gt;"","GST No." &amp;'Guru Kirpa Customer Form'!F173,"Adhar No." &amp;'Guru Kirpa Customer Form'!G173)</f>
        <v>Adhar No.</v>
      </c>
      <c r="C213" s="54">
        <f t="shared" si="2"/>
        <v>0</v>
      </c>
      <c r="D213" s="54" t="str">
        <f>IF('Guru Kirpa Customer Form'!C173="Haryana","State Name:"&amp;" "&amp;"Haryana,Code No."&amp;" "&amp;"0"&amp;'Guru Kirpa Customer Form'!E173,"State Name:"&amp;" "&amp;'Guru Kirpa Customer Form'!C173&amp;",Code No."&amp;" "&amp;"0"&amp; 'Guru Kirpa Customer Form'!E173)</f>
        <v>State Name: ,Code No. 0</v>
      </c>
    </row>
    <row r="214" spans="1:4" ht="18" x14ac:dyDescent="0.35">
      <c r="A214" s="54">
        <f>'Guru Kirpa Customer Form'!B174</f>
        <v>0</v>
      </c>
      <c r="B214" s="54" t="str">
        <f>IF('Guru Kirpa Customer Form'!F174&lt;&gt;"","GST No." &amp;'Guru Kirpa Customer Form'!F174,"Adhar No." &amp;'Guru Kirpa Customer Form'!G174)</f>
        <v>Adhar No.</v>
      </c>
      <c r="C214" s="54">
        <f t="shared" si="2"/>
        <v>0</v>
      </c>
      <c r="D214" s="54" t="str">
        <f>IF('Guru Kirpa Customer Form'!C174="Haryana","State Name:"&amp;" "&amp;"Haryana,Code No."&amp;" "&amp;"0"&amp;'Guru Kirpa Customer Form'!E174,"State Name:"&amp;" "&amp;'Guru Kirpa Customer Form'!C174&amp;",Code No."&amp;" "&amp;"0"&amp; 'Guru Kirpa Customer Form'!E174)</f>
        <v>State Name: ,Code No. 0</v>
      </c>
    </row>
    <row r="215" spans="1:4" ht="18" x14ac:dyDescent="0.35">
      <c r="A215" s="54">
        <f>'Guru Kirpa Customer Form'!B175</f>
        <v>0</v>
      </c>
      <c r="B215" s="54" t="str">
        <f>IF('Guru Kirpa Customer Form'!F175&lt;&gt;"","GST No." &amp;'Guru Kirpa Customer Form'!F175,"Adhar No." &amp;'Guru Kirpa Customer Form'!G175)</f>
        <v>Adhar No.</v>
      </c>
      <c r="C215" s="54">
        <f t="shared" si="2"/>
        <v>0</v>
      </c>
      <c r="D215" s="54" t="str">
        <f>IF('Guru Kirpa Customer Form'!C175="Haryana","State Name:"&amp;" "&amp;"Haryana,Code No."&amp;" "&amp;"0"&amp;'Guru Kirpa Customer Form'!E175,"State Name:"&amp;" "&amp;'Guru Kirpa Customer Form'!C175&amp;",Code No."&amp;" "&amp;"0"&amp; 'Guru Kirpa Customer Form'!E175)</f>
        <v>State Name: ,Code No. 0</v>
      </c>
    </row>
    <row r="216" spans="1:4" ht="18" x14ac:dyDescent="0.35">
      <c r="A216" s="54">
        <f>'Guru Kirpa Customer Form'!B176</f>
        <v>0</v>
      </c>
      <c r="B216" s="54" t="str">
        <f>IF('Guru Kirpa Customer Form'!F176&lt;&gt;"","GST No." &amp;'Guru Kirpa Customer Form'!F176,"Adhar No." &amp;'Guru Kirpa Customer Form'!G176)</f>
        <v>Adhar No.</v>
      </c>
      <c r="C216" s="54">
        <f t="shared" si="2"/>
        <v>0</v>
      </c>
      <c r="D216" s="54" t="str">
        <f>IF('Guru Kirpa Customer Form'!C176="Haryana","State Name:"&amp;" "&amp;"Haryana,Code No."&amp;" "&amp;"0"&amp;'Guru Kirpa Customer Form'!E176,"State Name:"&amp;" "&amp;'Guru Kirpa Customer Form'!C176&amp;",Code No."&amp;" "&amp;"0"&amp; 'Guru Kirpa Customer Form'!E176)</f>
        <v>State Name: ,Code No. 0</v>
      </c>
    </row>
    <row r="217" spans="1:4" ht="18" x14ac:dyDescent="0.35">
      <c r="A217" s="54">
        <f>'Guru Kirpa Customer Form'!B177</f>
        <v>0</v>
      </c>
      <c r="B217" s="54" t="str">
        <f>IF('Guru Kirpa Customer Form'!F177&lt;&gt;"","GST No." &amp;'Guru Kirpa Customer Form'!F177,"Adhar No." &amp;'Guru Kirpa Customer Form'!G177)</f>
        <v>Adhar No.</v>
      </c>
      <c r="C217" s="54">
        <f t="shared" si="2"/>
        <v>0</v>
      </c>
      <c r="D217" s="54" t="str">
        <f>IF('Guru Kirpa Customer Form'!C177="Haryana","State Name:"&amp;" "&amp;"Haryana,Code No."&amp;" "&amp;"0"&amp;'Guru Kirpa Customer Form'!E177,"State Name:"&amp;" "&amp;'Guru Kirpa Customer Form'!C177&amp;",Code No."&amp;" "&amp;"0"&amp; 'Guru Kirpa Customer Form'!E177)</f>
        <v>State Name: ,Code No. 0</v>
      </c>
    </row>
    <row r="218" spans="1:4" ht="18" x14ac:dyDescent="0.35">
      <c r="A218" s="54">
        <f>'Guru Kirpa Customer Form'!B178</f>
        <v>0</v>
      </c>
      <c r="B218" s="54" t="str">
        <f>IF('Guru Kirpa Customer Form'!F178&lt;&gt;"","GST No." &amp;'Guru Kirpa Customer Form'!F178,"Adhar No." &amp;'Guru Kirpa Customer Form'!G178)</f>
        <v>Adhar No.</v>
      </c>
      <c r="C218" s="54">
        <f t="shared" si="2"/>
        <v>0</v>
      </c>
      <c r="D218" s="54" t="str">
        <f>IF('Guru Kirpa Customer Form'!C178="Haryana","State Name:"&amp;" "&amp;"Haryana,Code No."&amp;" "&amp;"0"&amp;'Guru Kirpa Customer Form'!E178,"State Name:"&amp;" "&amp;'Guru Kirpa Customer Form'!C178&amp;",Code No."&amp;" "&amp;"0"&amp; 'Guru Kirpa Customer Form'!E178)</f>
        <v>State Name: ,Code No. 0</v>
      </c>
    </row>
    <row r="219" spans="1:4" ht="18" x14ac:dyDescent="0.35">
      <c r="A219" s="54">
        <f>'Guru Kirpa Customer Form'!B179</f>
        <v>0</v>
      </c>
      <c r="B219" s="54" t="str">
        <f>IF('Guru Kirpa Customer Form'!F179&lt;&gt;"","GST No." &amp;'Guru Kirpa Customer Form'!F179,"Adhar No." &amp;'Guru Kirpa Customer Form'!G179)</f>
        <v>Adhar No.</v>
      </c>
      <c r="C219" s="54">
        <f t="shared" si="2"/>
        <v>0</v>
      </c>
      <c r="D219" s="54" t="str">
        <f>IF('Guru Kirpa Customer Form'!C179="Haryana","State Name:"&amp;" "&amp;"Haryana,Code No."&amp;" "&amp;"0"&amp;'Guru Kirpa Customer Form'!E179,"State Name:"&amp;" "&amp;'Guru Kirpa Customer Form'!C179&amp;",Code No."&amp;" "&amp;"0"&amp; 'Guru Kirpa Customer Form'!E179)</f>
        <v>State Name: ,Code No. 0</v>
      </c>
    </row>
    <row r="220" spans="1:4" ht="18" x14ac:dyDescent="0.35">
      <c r="A220" s="54">
        <f>'Guru Kirpa Customer Form'!B180</f>
        <v>0</v>
      </c>
      <c r="B220" s="54" t="str">
        <f>IF('Guru Kirpa Customer Form'!F180&lt;&gt;"","GST No." &amp;'Guru Kirpa Customer Form'!F180,"Adhar No." &amp;'Guru Kirpa Customer Form'!G180)</f>
        <v>Adhar No.</v>
      </c>
      <c r="C220" s="54">
        <f t="shared" si="2"/>
        <v>0</v>
      </c>
      <c r="D220" s="54" t="str">
        <f>IF('Guru Kirpa Customer Form'!C180="Haryana","State Name:"&amp;" "&amp;"Haryana,Code No."&amp;" "&amp;"0"&amp;'Guru Kirpa Customer Form'!E180,"State Name:"&amp;" "&amp;'Guru Kirpa Customer Form'!C180&amp;",Code No."&amp;" "&amp;"0"&amp; 'Guru Kirpa Customer Form'!E180)</f>
        <v>State Name: ,Code No. 0</v>
      </c>
    </row>
    <row r="221" spans="1:4" ht="18" x14ac:dyDescent="0.35">
      <c r="A221" s="54">
        <f>'Guru Kirpa Customer Form'!B181</f>
        <v>0</v>
      </c>
      <c r="B221" s="54" t="str">
        <f>IF('Guru Kirpa Customer Form'!F181&lt;&gt;"","GST No." &amp;'Guru Kirpa Customer Form'!F181,"Adhar No." &amp;'Guru Kirpa Customer Form'!G181)</f>
        <v>Adhar No.</v>
      </c>
      <c r="C221" s="54">
        <f t="shared" si="2"/>
        <v>0</v>
      </c>
      <c r="D221" s="54" t="str">
        <f>IF('Guru Kirpa Customer Form'!C181="Haryana","State Name:"&amp;" "&amp;"Haryana,Code No."&amp;" "&amp;"0"&amp;'Guru Kirpa Customer Form'!E181,"State Name:"&amp;" "&amp;'Guru Kirpa Customer Form'!C181&amp;",Code No."&amp;" "&amp;"0"&amp; 'Guru Kirpa Customer Form'!E181)</f>
        <v>State Name: ,Code No. 0</v>
      </c>
    </row>
    <row r="222" spans="1:4" ht="18" x14ac:dyDescent="0.35">
      <c r="A222" s="54">
        <f>'Guru Kirpa Customer Form'!B182</f>
        <v>0</v>
      </c>
      <c r="B222" s="54" t="str">
        <f>IF('Guru Kirpa Customer Form'!F182&lt;&gt;"","GST No." &amp;'Guru Kirpa Customer Form'!F182,"Adhar No." &amp;'Guru Kirpa Customer Form'!G182)</f>
        <v>Adhar No.</v>
      </c>
      <c r="C222" s="54">
        <f t="shared" si="2"/>
        <v>0</v>
      </c>
      <c r="D222" s="54" t="str">
        <f>IF('Guru Kirpa Customer Form'!C182="Haryana","State Name:"&amp;" "&amp;"Haryana,Code No."&amp;" "&amp;"0"&amp;'Guru Kirpa Customer Form'!E182,"State Name:"&amp;" "&amp;'Guru Kirpa Customer Form'!C182&amp;",Code No."&amp;" "&amp;"0"&amp; 'Guru Kirpa Customer Form'!E182)</f>
        <v>State Name: ,Code No. 0</v>
      </c>
    </row>
    <row r="223" spans="1:4" ht="18" x14ac:dyDescent="0.35">
      <c r="A223" s="54">
        <f>'Guru Kirpa Customer Form'!B183</f>
        <v>0</v>
      </c>
      <c r="B223" s="54" t="str">
        <f>IF('Guru Kirpa Customer Form'!F183&lt;&gt;"","GST No." &amp;'Guru Kirpa Customer Form'!F183,"Adhar No." &amp;'Guru Kirpa Customer Form'!G183)</f>
        <v>Adhar No.</v>
      </c>
      <c r="C223" s="54">
        <f t="shared" si="2"/>
        <v>0</v>
      </c>
      <c r="D223" s="54" t="str">
        <f>IF('Guru Kirpa Customer Form'!C183="Haryana","State Name:"&amp;" "&amp;"Haryana,Code No."&amp;" "&amp;"0"&amp;'Guru Kirpa Customer Form'!E183,"State Name:"&amp;" "&amp;'Guru Kirpa Customer Form'!C183&amp;",Code No."&amp;" "&amp;"0"&amp; 'Guru Kirpa Customer Form'!E183)</f>
        <v>State Name: ,Code No. 0</v>
      </c>
    </row>
    <row r="224" spans="1:4" ht="18" x14ac:dyDescent="0.35">
      <c r="A224" s="54">
        <f>'Guru Kirpa Customer Form'!B184</f>
        <v>0</v>
      </c>
      <c r="B224" s="54" t="str">
        <f>IF('Guru Kirpa Customer Form'!F184&lt;&gt;"","GST No." &amp;'Guru Kirpa Customer Form'!F184,"Adhar No." &amp;'Guru Kirpa Customer Form'!G184)</f>
        <v>Adhar No.</v>
      </c>
      <c r="C224" s="54">
        <f t="shared" si="2"/>
        <v>0</v>
      </c>
      <c r="D224" s="54" t="str">
        <f>IF('Guru Kirpa Customer Form'!C184="Haryana","State Name:"&amp;" "&amp;"Haryana,Code No."&amp;" "&amp;"0"&amp;'Guru Kirpa Customer Form'!E184,"State Name:"&amp;" "&amp;'Guru Kirpa Customer Form'!C184&amp;",Code No."&amp;" "&amp;"0"&amp; 'Guru Kirpa Customer Form'!E184)</f>
        <v>State Name: ,Code No. 0</v>
      </c>
    </row>
    <row r="225" spans="1:4" ht="18" x14ac:dyDescent="0.35">
      <c r="A225" s="54">
        <f>'Guru Kirpa Customer Form'!B185</f>
        <v>0</v>
      </c>
      <c r="B225" s="54" t="str">
        <f>IF('Guru Kirpa Customer Form'!F185&lt;&gt;"","GST No." &amp;'Guru Kirpa Customer Form'!F185,"Adhar No." &amp;'Guru Kirpa Customer Form'!G185)</f>
        <v>Adhar No.</v>
      </c>
      <c r="C225" s="54">
        <f t="shared" si="2"/>
        <v>0</v>
      </c>
      <c r="D225" s="54" t="str">
        <f>IF('Guru Kirpa Customer Form'!C185="Haryana","State Name:"&amp;" "&amp;"Haryana,Code No."&amp;" "&amp;"0"&amp;'Guru Kirpa Customer Form'!E185,"State Name:"&amp;" "&amp;'Guru Kirpa Customer Form'!C185&amp;",Code No."&amp;" "&amp;"0"&amp; 'Guru Kirpa Customer Form'!E185)</f>
        <v>State Name: ,Code No. 0</v>
      </c>
    </row>
    <row r="226" spans="1:4" ht="18" x14ac:dyDescent="0.35">
      <c r="A226" s="54">
        <f>'Guru Kirpa Customer Form'!B186</f>
        <v>0</v>
      </c>
      <c r="B226" s="54" t="str">
        <f>IF('Guru Kirpa Customer Form'!F186&lt;&gt;"","GST No." &amp;'Guru Kirpa Customer Form'!F186,"Adhar No." &amp;'Guru Kirpa Customer Form'!G186)</f>
        <v>Adhar No.</v>
      </c>
      <c r="C226" s="54">
        <f t="shared" si="2"/>
        <v>0</v>
      </c>
      <c r="D226" s="54" t="str">
        <f>IF('Guru Kirpa Customer Form'!C186="Haryana","State Name:"&amp;" "&amp;"Haryana,Code No."&amp;" "&amp;"0"&amp;'Guru Kirpa Customer Form'!E186,"State Name:"&amp;" "&amp;'Guru Kirpa Customer Form'!C186&amp;",Code No."&amp;" "&amp;"0"&amp; 'Guru Kirpa Customer Form'!E186)</f>
        <v>State Name: ,Code No. 0</v>
      </c>
    </row>
    <row r="227" spans="1:4" ht="18" x14ac:dyDescent="0.35">
      <c r="A227" s="54">
        <f>'Guru Kirpa Customer Form'!B187</f>
        <v>0</v>
      </c>
      <c r="B227" s="54" t="str">
        <f>IF('Guru Kirpa Customer Form'!F187&lt;&gt;"","GST No." &amp;'Guru Kirpa Customer Form'!F187,"Adhar No." &amp;'Guru Kirpa Customer Form'!G187)</f>
        <v>Adhar No.</v>
      </c>
      <c r="C227" s="54">
        <f t="shared" si="2"/>
        <v>0</v>
      </c>
      <c r="D227" s="54" t="str">
        <f>IF('Guru Kirpa Customer Form'!C187="Haryana","State Name:"&amp;" "&amp;"Haryana,Code No."&amp;" "&amp;"0"&amp;'Guru Kirpa Customer Form'!E187,"State Name:"&amp;" "&amp;'Guru Kirpa Customer Form'!C187&amp;",Code No."&amp;" "&amp;"0"&amp; 'Guru Kirpa Customer Form'!E187)</f>
        <v>State Name: ,Code No. 0</v>
      </c>
    </row>
    <row r="228" spans="1:4" ht="18" x14ac:dyDescent="0.35">
      <c r="A228" s="54">
        <f>'Guru Kirpa Customer Form'!B188</f>
        <v>0</v>
      </c>
      <c r="B228" s="54" t="str">
        <f>IF('Guru Kirpa Customer Form'!F188&lt;&gt;"","GST No." &amp;'Guru Kirpa Customer Form'!F188,"Adhar No." &amp;'Guru Kirpa Customer Form'!G188)</f>
        <v>Adhar No.</v>
      </c>
      <c r="C228" s="54">
        <f t="shared" si="2"/>
        <v>0</v>
      </c>
      <c r="D228" s="54" t="str">
        <f>IF('Guru Kirpa Customer Form'!C188="Haryana","State Name:"&amp;" "&amp;"Haryana,Code No."&amp;" "&amp;"0"&amp;'Guru Kirpa Customer Form'!E188,"State Name:"&amp;" "&amp;'Guru Kirpa Customer Form'!C188&amp;",Code No."&amp;" "&amp;"0"&amp; 'Guru Kirpa Customer Form'!E188)</f>
        <v>State Name: ,Code No. 0</v>
      </c>
    </row>
    <row r="229" spans="1:4" ht="18" x14ac:dyDescent="0.35">
      <c r="A229" s="54">
        <f>'Guru Kirpa Customer Form'!B189</f>
        <v>0</v>
      </c>
      <c r="B229" s="54" t="str">
        <f>IF('Guru Kirpa Customer Form'!F189&lt;&gt;"","GST No." &amp;'Guru Kirpa Customer Form'!F189,"Adhar No." &amp;'Guru Kirpa Customer Form'!G189)</f>
        <v>Adhar No.</v>
      </c>
      <c r="C229" s="54">
        <f t="shared" si="2"/>
        <v>0</v>
      </c>
      <c r="D229" s="54" t="str">
        <f>IF('Guru Kirpa Customer Form'!C189="Haryana","State Name:"&amp;" "&amp;"Haryana,Code No."&amp;" "&amp;"0"&amp;'Guru Kirpa Customer Form'!E189,"State Name:"&amp;" "&amp;'Guru Kirpa Customer Form'!C189&amp;",Code No."&amp;" "&amp;"0"&amp; 'Guru Kirpa Customer Form'!E189)</f>
        <v>State Name: ,Code No. 0</v>
      </c>
    </row>
    <row r="230" spans="1:4" ht="18" x14ac:dyDescent="0.35">
      <c r="A230" s="54">
        <f>'Guru Kirpa Customer Form'!B190</f>
        <v>0</v>
      </c>
      <c r="B230" s="54" t="str">
        <f>IF('Guru Kirpa Customer Form'!F190&lt;&gt;"","GST No." &amp;'Guru Kirpa Customer Form'!F190,"Adhar No." &amp;'Guru Kirpa Customer Form'!G190)</f>
        <v>Adhar No.</v>
      </c>
      <c r="C230" s="54">
        <f t="shared" si="2"/>
        <v>0</v>
      </c>
      <c r="D230" s="54" t="str">
        <f>IF('Guru Kirpa Customer Form'!C190="Haryana","State Name:"&amp;" "&amp;"Haryana,Code No."&amp;" "&amp;"0"&amp;'Guru Kirpa Customer Form'!E190,"State Name:"&amp;" "&amp;'Guru Kirpa Customer Form'!C190&amp;",Code No."&amp;" "&amp;"0"&amp; 'Guru Kirpa Customer Form'!E190)</f>
        <v>State Name: ,Code No. 0</v>
      </c>
    </row>
    <row r="231" spans="1:4" ht="18" x14ac:dyDescent="0.35">
      <c r="A231" s="54">
        <f>'Guru Kirpa Customer Form'!B191</f>
        <v>0</v>
      </c>
      <c r="B231" s="54" t="str">
        <f>IF('Guru Kirpa Customer Form'!F191&lt;&gt;"","GST No." &amp;'Guru Kirpa Customer Form'!F191,"Adhar No." &amp;'Guru Kirpa Customer Form'!G191)</f>
        <v>Adhar No.</v>
      </c>
      <c r="C231" s="54">
        <f t="shared" si="2"/>
        <v>0</v>
      </c>
      <c r="D231" s="54" t="str">
        <f>IF('Guru Kirpa Customer Form'!C191="Haryana","State Name:"&amp;" "&amp;"Haryana,Code No."&amp;" "&amp;"0"&amp;'Guru Kirpa Customer Form'!E191,"State Name:"&amp;" "&amp;'Guru Kirpa Customer Form'!C191&amp;",Code No."&amp;" "&amp;"0"&amp; 'Guru Kirpa Customer Form'!E191)</f>
        <v>State Name: ,Code No. 0</v>
      </c>
    </row>
    <row r="232" spans="1:4" ht="18" x14ac:dyDescent="0.35">
      <c r="A232" s="54">
        <f>'Guru Kirpa Customer Form'!B192</f>
        <v>0</v>
      </c>
      <c r="B232" s="54" t="str">
        <f>IF('Guru Kirpa Customer Form'!F192&lt;&gt;"","GST No." &amp;'Guru Kirpa Customer Form'!F192,"Adhar No." &amp;'Guru Kirpa Customer Form'!G192)</f>
        <v>Adhar No.</v>
      </c>
      <c r="C232" s="54">
        <f t="shared" si="2"/>
        <v>0</v>
      </c>
      <c r="D232" s="54" t="str">
        <f>IF('Guru Kirpa Customer Form'!C192="Haryana","State Name:"&amp;" "&amp;"Haryana,Code No."&amp;" "&amp;"0"&amp;'Guru Kirpa Customer Form'!E192,"State Name:"&amp;" "&amp;'Guru Kirpa Customer Form'!C192&amp;",Code No."&amp;" "&amp;"0"&amp; 'Guru Kirpa Customer Form'!E192)</f>
        <v>State Name: ,Code No. 0</v>
      </c>
    </row>
    <row r="233" spans="1:4" ht="18" x14ac:dyDescent="0.35">
      <c r="A233" s="54">
        <f>'Guru Kirpa Customer Form'!B193</f>
        <v>0</v>
      </c>
      <c r="B233" s="54" t="str">
        <f>IF('Guru Kirpa Customer Form'!F193&lt;&gt;"","GST No." &amp;'Guru Kirpa Customer Form'!F193,"Adhar No." &amp;'Guru Kirpa Customer Form'!G193)</f>
        <v>Adhar No.</v>
      </c>
      <c r="C233" s="54">
        <f t="shared" si="2"/>
        <v>0</v>
      </c>
      <c r="D233" s="54" t="str">
        <f>IF('Guru Kirpa Customer Form'!C193="Haryana","State Name:"&amp;" "&amp;"Haryana,Code No."&amp;" "&amp;"0"&amp;'Guru Kirpa Customer Form'!E193,"State Name:"&amp;" "&amp;'Guru Kirpa Customer Form'!C193&amp;",Code No."&amp;" "&amp;"0"&amp; 'Guru Kirpa Customer Form'!E193)</f>
        <v>State Name: ,Code No. 0</v>
      </c>
    </row>
    <row r="234" spans="1:4" ht="18" x14ac:dyDescent="0.35">
      <c r="A234" s="54">
        <f>'Guru Kirpa Customer Form'!B194</f>
        <v>0</v>
      </c>
      <c r="B234" s="54" t="str">
        <f>IF('Guru Kirpa Customer Form'!F194&lt;&gt;"","GST No." &amp;'Guru Kirpa Customer Form'!F194,"Adhar No." &amp;'Guru Kirpa Customer Form'!G194)</f>
        <v>Adhar No.</v>
      </c>
      <c r="C234" s="54">
        <f t="shared" si="2"/>
        <v>0</v>
      </c>
      <c r="D234" s="54" t="str">
        <f>IF('Guru Kirpa Customer Form'!C194="Haryana","State Name:"&amp;" "&amp;"Haryana,Code No."&amp;" "&amp;"0"&amp;'Guru Kirpa Customer Form'!E194,"State Name:"&amp;" "&amp;'Guru Kirpa Customer Form'!C194&amp;",Code No."&amp;" "&amp;"0"&amp; 'Guru Kirpa Customer Form'!E194)</f>
        <v>State Name: ,Code No. 0</v>
      </c>
    </row>
    <row r="235" spans="1:4" ht="18" x14ac:dyDescent="0.35">
      <c r="A235" s="54">
        <f>'Guru Kirpa Customer Form'!B195</f>
        <v>0</v>
      </c>
      <c r="B235" s="54" t="str">
        <f>IF('Guru Kirpa Customer Form'!F195&lt;&gt;"","GST No." &amp;'Guru Kirpa Customer Form'!F195,"Adhar No." &amp;'Guru Kirpa Customer Form'!G195)</f>
        <v>Adhar No.</v>
      </c>
      <c r="C235" s="54">
        <f t="shared" ref="C235:C287" si="3">A235</f>
        <v>0</v>
      </c>
      <c r="D235" s="54" t="str">
        <f>IF('Guru Kirpa Customer Form'!C195="Haryana","State Name:"&amp;" "&amp;"Haryana,Code No."&amp;" "&amp;"0"&amp;'Guru Kirpa Customer Form'!E195,"State Name:"&amp;" "&amp;'Guru Kirpa Customer Form'!C195&amp;",Code No."&amp;" "&amp;"0"&amp; 'Guru Kirpa Customer Form'!E195)</f>
        <v>State Name: ,Code No. 0</v>
      </c>
    </row>
    <row r="236" spans="1:4" ht="18" x14ac:dyDescent="0.35">
      <c r="A236" s="54">
        <f>'Guru Kirpa Customer Form'!B196</f>
        <v>0</v>
      </c>
      <c r="B236" s="54" t="str">
        <f>IF('Guru Kirpa Customer Form'!F196&lt;&gt;"","GST No." &amp;'Guru Kirpa Customer Form'!F196,"Adhar No." &amp;'Guru Kirpa Customer Form'!G196)</f>
        <v>Adhar No.</v>
      </c>
      <c r="C236" s="54">
        <f t="shared" si="3"/>
        <v>0</v>
      </c>
      <c r="D236" s="54" t="str">
        <f>IF('Guru Kirpa Customer Form'!C196="Haryana","State Name:"&amp;" "&amp;"Haryana,Code No."&amp;" "&amp;"0"&amp;'Guru Kirpa Customer Form'!E196,"State Name:"&amp;" "&amp;'Guru Kirpa Customer Form'!C196&amp;",Code No."&amp;" "&amp;"0"&amp; 'Guru Kirpa Customer Form'!E196)</f>
        <v>State Name: ,Code No. 0</v>
      </c>
    </row>
    <row r="237" spans="1:4" ht="18" x14ac:dyDescent="0.35">
      <c r="A237" s="54">
        <f>'Guru Kirpa Customer Form'!B197</f>
        <v>0</v>
      </c>
      <c r="B237" s="54" t="str">
        <f>IF('Guru Kirpa Customer Form'!F197&lt;&gt;"","GST No." &amp;'Guru Kirpa Customer Form'!F197,"Adhar No." &amp;'Guru Kirpa Customer Form'!G197)</f>
        <v>Adhar No.</v>
      </c>
      <c r="C237" s="54">
        <f t="shared" si="3"/>
        <v>0</v>
      </c>
      <c r="D237" s="54" t="str">
        <f>IF('Guru Kirpa Customer Form'!C197="Haryana","State Name:"&amp;" "&amp;"Haryana,Code No."&amp;" "&amp;"0"&amp;'Guru Kirpa Customer Form'!E197,"State Name:"&amp;" "&amp;'Guru Kirpa Customer Form'!C197&amp;",Code No."&amp;" "&amp;"0"&amp; 'Guru Kirpa Customer Form'!E197)</f>
        <v>State Name: ,Code No. 0</v>
      </c>
    </row>
    <row r="238" spans="1:4" ht="18" x14ac:dyDescent="0.35">
      <c r="A238" s="54">
        <f>'Guru Kirpa Customer Form'!B198</f>
        <v>0</v>
      </c>
      <c r="B238" s="54" t="str">
        <f>IF('Guru Kirpa Customer Form'!F198&lt;&gt;"","GST No." &amp;'Guru Kirpa Customer Form'!F198,"Adhar No." &amp;'Guru Kirpa Customer Form'!G198)</f>
        <v>Adhar No.</v>
      </c>
      <c r="C238" s="54">
        <f t="shared" si="3"/>
        <v>0</v>
      </c>
      <c r="D238" s="54" t="str">
        <f>IF('Guru Kirpa Customer Form'!C198="Haryana","State Name:"&amp;" "&amp;"Haryana,Code No."&amp;" "&amp;"0"&amp;'Guru Kirpa Customer Form'!E198,"State Name:"&amp;" "&amp;'Guru Kirpa Customer Form'!C198&amp;",Code No."&amp;" "&amp;"0"&amp; 'Guru Kirpa Customer Form'!E198)</f>
        <v>State Name: ,Code No. 0</v>
      </c>
    </row>
    <row r="239" spans="1:4" ht="18" x14ac:dyDescent="0.35">
      <c r="A239" s="54">
        <f>'Guru Kirpa Customer Form'!B199</f>
        <v>0</v>
      </c>
      <c r="B239" s="54" t="str">
        <f>IF('Guru Kirpa Customer Form'!F199&lt;&gt;"","GST No." &amp;'Guru Kirpa Customer Form'!F199,"Adhar No." &amp;'Guru Kirpa Customer Form'!G199)</f>
        <v>Adhar No.</v>
      </c>
      <c r="C239" s="54">
        <f t="shared" si="3"/>
        <v>0</v>
      </c>
      <c r="D239" s="54" t="str">
        <f>IF('Guru Kirpa Customer Form'!C199="Haryana","State Name:"&amp;" "&amp;"Haryana,Code No."&amp;" "&amp;"0"&amp;'Guru Kirpa Customer Form'!E199,"State Name:"&amp;" "&amp;'Guru Kirpa Customer Form'!C199&amp;",Code No."&amp;" "&amp;"0"&amp; 'Guru Kirpa Customer Form'!E199)</f>
        <v>State Name: ,Code No. 0</v>
      </c>
    </row>
    <row r="240" spans="1:4" ht="18" x14ac:dyDescent="0.35">
      <c r="A240" s="54">
        <f>'Guru Kirpa Customer Form'!B200</f>
        <v>0</v>
      </c>
      <c r="B240" s="54" t="str">
        <f>IF('Guru Kirpa Customer Form'!F200&lt;&gt;"","GST No." &amp;'Guru Kirpa Customer Form'!F200,"Adhar No." &amp;'Guru Kirpa Customer Form'!G200)</f>
        <v>Adhar No.</v>
      </c>
      <c r="C240" s="54">
        <f t="shared" si="3"/>
        <v>0</v>
      </c>
      <c r="D240" s="54" t="str">
        <f>IF('Guru Kirpa Customer Form'!C200="Haryana","State Name:"&amp;" "&amp;"Haryana,Code No."&amp;" "&amp;"0"&amp;'Guru Kirpa Customer Form'!E200,"State Name:"&amp;" "&amp;'Guru Kirpa Customer Form'!C200&amp;",Code No."&amp;" "&amp;"0"&amp; 'Guru Kirpa Customer Form'!E200)</f>
        <v>State Name: ,Code No. 0</v>
      </c>
    </row>
    <row r="241" spans="1:4" ht="18" x14ac:dyDescent="0.35">
      <c r="A241" s="54">
        <f>'Guru Kirpa Customer Form'!B201</f>
        <v>0</v>
      </c>
      <c r="B241" s="54" t="str">
        <f>IF('Guru Kirpa Customer Form'!F201&lt;&gt;"","GST No." &amp;'Guru Kirpa Customer Form'!F201,"Adhar No." &amp;'Guru Kirpa Customer Form'!G201)</f>
        <v>Adhar No.</v>
      </c>
      <c r="C241" s="54">
        <f t="shared" si="3"/>
        <v>0</v>
      </c>
      <c r="D241" s="54" t="str">
        <f>IF('Guru Kirpa Customer Form'!C201="Haryana","State Name:"&amp;" "&amp;"Haryana,Code No."&amp;" "&amp;"0"&amp;'Guru Kirpa Customer Form'!E201,"State Name:"&amp;" "&amp;'Guru Kirpa Customer Form'!C201&amp;",Code No."&amp;" "&amp;"0"&amp; 'Guru Kirpa Customer Form'!E201)</f>
        <v>State Name: ,Code No. 0</v>
      </c>
    </row>
    <row r="242" spans="1:4" ht="18" x14ac:dyDescent="0.35">
      <c r="A242" s="54">
        <f>'Guru Kirpa Customer Form'!B202</f>
        <v>0</v>
      </c>
      <c r="B242" s="54" t="str">
        <f>IF('Guru Kirpa Customer Form'!F202&lt;&gt;"","GST No." &amp;'Guru Kirpa Customer Form'!F202,"Adhar No." &amp;'Guru Kirpa Customer Form'!G202)</f>
        <v>Adhar No.</v>
      </c>
      <c r="C242" s="54">
        <f t="shared" si="3"/>
        <v>0</v>
      </c>
      <c r="D242" s="54" t="str">
        <f>IF('Guru Kirpa Customer Form'!C202="Haryana","State Name:"&amp;" "&amp;"Haryana,Code No."&amp;" "&amp;"0"&amp;'Guru Kirpa Customer Form'!E202,"State Name:"&amp;" "&amp;'Guru Kirpa Customer Form'!C202&amp;",Code No."&amp;" "&amp;"0"&amp; 'Guru Kirpa Customer Form'!E202)</f>
        <v>State Name: ,Code No. 0</v>
      </c>
    </row>
    <row r="243" spans="1:4" ht="18" x14ac:dyDescent="0.35">
      <c r="A243" s="54">
        <f>'Guru Kirpa Customer Form'!B203</f>
        <v>0</v>
      </c>
      <c r="B243" s="54" t="str">
        <f>IF('Guru Kirpa Customer Form'!F203&lt;&gt;"","GST No." &amp;'Guru Kirpa Customer Form'!F203,"Adhar No." &amp;'Guru Kirpa Customer Form'!G203)</f>
        <v>Adhar No.</v>
      </c>
      <c r="C243" s="54">
        <f t="shared" si="3"/>
        <v>0</v>
      </c>
      <c r="D243" s="54" t="str">
        <f>IF('Guru Kirpa Customer Form'!C203="Haryana","State Name:"&amp;" "&amp;"Haryana,Code No."&amp;" "&amp;"0"&amp;'Guru Kirpa Customer Form'!E203,"State Name:"&amp;" "&amp;'Guru Kirpa Customer Form'!C203&amp;",Code No."&amp;" "&amp;"0"&amp; 'Guru Kirpa Customer Form'!E203)</f>
        <v>State Name: ,Code No. 0</v>
      </c>
    </row>
    <row r="244" spans="1:4" ht="18" x14ac:dyDescent="0.35">
      <c r="A244" s="54">
        <f>'Guru Kirpa Customer Form'!B204</f>
        <v>0</v>
      </c>
      <c r="B244" s="54" t="str">
        <f>IF('Guru Kirpa Customer Form'!F204&lt;&gt;"","GST No." &amp;'Guru Kirpa Customer Form'!F204,"Adhar No." &amp;'Guru Kirpa Customer Form'!G204)</f>
        <v>Adhar No.</v>
      </c>
      <c r="C244" s="54">
        <f t="shared" si="3"/>
        <v>0</v>
      </c>
      <c r="D244" s="54" t="str">
        <f>IF('Guru Kirpa Customer Form'!C204="Haryana","State Name:"&amp;" "&amp;"Haryana,Code No."&amp;" "&amp;"0"&amp;'Guru Kirpa Customer Form'!E204,"State Name:"&amp;" "&amp;'Guru Kirpa Customer Form'!C204&amp;",Code No."&amp;" "&amp;"0"&amp; 'Guru Kirpa Customer Form'!E204)</f>
        <v>State Name: ,Code No. 0</v>
      </c>
    </row>
    <row r="245" spans="1:4" ht="18" x14ac:dyDescent="0.35">
      <c r="A245" s="54">
        <f>'Guru Kirpa Customer Form'!B205</f>
        <v>0</v>
      </c>
      <c r="B245" s="54" t="str">
        <f>IF('Guru Kirpa Customer Form'!F205&lt;&gt;"","GST No." &amp;'Guru Kirpa Customer Form'!F205,"Adhar No." &amp;'Guru Kirpa Customer Form'!G205)</f>
        <v>Adhar No.</v>
      </c>
      <c r="C245" s="54">
        <f t="shared" si="3"/>
        <v>0</v>
      </c>
      <c r="D245" s="54" t="str">
        <f>IF('Guru Kirpa Customer Form'!C205="Haryana","State Name:"&amp;" "&amp;"Haryana,Code No."&amp;" "&amp;"0"&amp;'Guru Kirpa Customer Form'!E205,"State Name:"&amp;" "&amp;'Guru Kirpa Customer Form'!C205&amp;",Code No."&amp;" "&amp;"0"&amp; 'Guru Kirpa Customer Form'!E205)</f>
        <v>State Name: ,Code No. 0</v>
      </c>
    </row>
    <row r="246" spans="1:4" ht="18" x14ac:dyDescent="0.35">
      <c r="A246" s="54">
        <f>'Guru Kirpa Customer Form'!B206</f>
        <v>0</v>
      </c>
      <c r="B246" s="54" t="str">
        <f>IF('Guru Kirpa Customer Form'!F206&lt;&gt;"","GST No." &amp;'Guru Kirpa Customer Form'!F206,"Adhar No." &amp;'Guru Kirpa Customer Form'!G206)</f>
        <v>Adhar No.</v>
      </c>
      <c r="C246" s="54">
        <f t="shared" si="3"/>
        <v>0</v>
      </c>
      <c r="D246" s="54" t="str">
        <f>IF('Guru Kirpa Customer Form'!C206="Haryana","State Name:"&amp;" "&amp;"Haryana,Code No."&amp;" "&amp;"0"&amp;'Guru Kirpa Customer Form'!E206,"State Name:"&amp;" "&amp;'Guru Kirpa Customer Form'!C206&amp;",Code No."&amp;" "&amp;"0"&amp; 'Guru Kirpa Customer Form'!E206)</f>
        <v>State Name: ,Code No. 0</v>
      </c>
    </row>
    <row r="247" spans="1:4" ht="18" x14ac:dyDescent="0.35">
      <c r="A247" s="54">
        <f>'Guru Kirpa Customer Form'!B207</f>
        <v>0</v>
      </c>
      <c r="B247" s="54" t="str">
        <f>IF('Guru Kirpa Customer Form'!F207&lt;&gt;"","GST No." &amp;'Guru Kirpa Customer Form'!F207,"Adhar No." &amp;'Guru Kirpa Customer Form'!G207)</f>
        <v>Adhar No.</v>
      </c>
      <c r="C247" s="54">
        <f t="shared" si="3"/>
        <v>0</v>
      </c>
      <c r="D247" s="54" t="str">
        <f>IF('Guru Kirpa Customer Form'!C207="Haryana","State Name:"&amp;" "&amp;"Haryana,Code No."&amp;" "&amp;"0"&amp;'Guru Kirpa Customer Form'!E207,"State Name:"&amp;" "&amp;'Guru Kirpa Customer Form'!C207&amp;",Code No."&amp;" "&amp;"0"&amp; 'Guru Kirpa Customer Form'!E207)</f>
        <v>State Name: ,Code No. 0</v>
      </c>
    </row>
    <row r="248" spans="1:4" ht="18" x14ac:dyDescent="0.35">
      <c r="A248" s="54">
        <f>'Guru Kirpa Customer Form'!B208</f>
        <v>0</v>
      </c>
      <c r="B248" s="54" t="str">
        <f>IF('Guru Kirpa Customer Form'!F208&lt;&gt;"","GST No." &amp;'Guru Kirpa Customer Form'!F208,"Adhar No." &amp;'Guru Kirpa Customer Form'!G208)</f>
        <v>Adhar No.</v>
      </c>
      <c r="C248" s="54">
        <f t="shared" si="3"/>
        <v>0</v>
      </c>
      <c r="D248" s="54" t="str">
        <f>IF('Guru Kirpa Customer Form'!C208="Haryana","State Name:"&amp;" "&amp;"Haryana,Code No."&amp;" "&amp;"0"&amp;'Guru Kirpa Customer Form'!E208,"State Name:"&amp;" "&amp;'Guru Kirpa Customer Form'!C208&amp;",Code No."&amp;" "&amp;"0"&amp; 'Guru Kirpa Customer Form'!E208)</f>
        <v>State Name: ,Code No. 0</v>
      </c>
    </row>
    <row r="249" spans="1:4" ht="18" x14ac:dyDescent="0.35">
      <c r="A249" s="54">
        <f>'Guru Kirpa Customer Form'!B209</f>
        <v>0</v>
      </c>
      <c r="B249" s="54" t="str">
        <f>IF('Guru Kirpa Customer Form'!F209&lt;&gt;"","GST No." &amp;'Guru Kirpa Customer Form'!F209,"Adhar No." &amp;'Guru Kirpa Customer Form'!G209)</f>
        <v>Adhar No.</v>
      </c>
      <c r="C249" s="54">
        <f t="shared" si="3"/>
        <v>0</v>
      </c>
      <c r="D249" s="54" t="str">
        <f>IF('Guru Kirpa Customer Form'!C209="Haryana","State Name:"&amp;" "&amp;"Haryana,Code No."&amp;" "&amp;"0"&amp;'Guru Kirpa Customer Form'!E209,"State Name:"&amp;" "&amp;'Guru Kirpa Customer Form'!C209&amp;",Code No."&amp;" "&amp;"0"&amp; 'Guru Kirpa Customer Form'!E209)</f>
        <v>State Name: ,Code No. 0</v>
      </c>
    </row>
    <row r="250" spans="1:4" ht="18" x14ac:dyDescent="0.35">
      <c r="A250" s="54">
        <f>'Guru Kirpa Customer Form'!B210</f>
        <v>0</v>
      </c>
      <c r="B250" s="54" t="str">
        <f>IF('Guru Kirpa Customer Form'!F210&lt;&gt;"","GST No." &amp;'Guru Kirpa Customer Form'!F210,"Adhar No." &amp;'Guru Kirpa Customer Form'!G210)</f>
        <v>Adhar No.</v>
      </c>
      <c r="C250" s="54">
        <f t="shared" si="3"/>
        <v>0</v>
      </c>
      <c r="D250" s="54" t="str">
        <f>IF('Guru Kirpa Customer Form'!C210="Haryana","State Name:"&amp;" "&amp;"Haryana,Code No."&amp;" "&amp;"0"&amp;'Guru Kirpa Customer Form'!E210,"State Name:"&amp;" "&amp;'Guru Kirpa Customer Form'!C210&amp;",Code No."&amp;" "&amp;"0"&amp; 'Guru Kirpa Customer Form'!E210)</f>
        <v>State Name: ,Code No. 0</v>
      </c>
    </row>
    <row r="251" spans="1:4" ht="18" x14ac:dyDescent="0.35">
      <c r="A251" s="54">
        <f>'Guru Kirpa Customer Form'!B211</f>
        <v>0</v>
      </c>
      <c r="B251" s="54" t="str">
        <f>IF('Guru Kirpa Customer Form'!F211&lt;&gt;"","GST No." &amp;'Guru Kirpa Customer Form'!F211,"Adhar No." &amp;'Guru Kirpa Customer Form'!G211)</f>
        <v>Adhar No.</v>
      </c>
      <c r="C251" s="54">
        <f t="shared" si="3"/>
        <v>0</v>
      </c>
      <c r="D251" s="54" t="str">
        <f>IF('Guru Kirpa Customer Form'!C211="Haryana","State Name:"&amp;" "&amp;"Haryana,Code No."&amp;" "&amp;"0"&amp;'Guru Kirpa Customer Form'!E211,"State Name:"&amp;" "&amp;'Guru Kirpa Customer Form'!C211&amp;",Code No."&amp;" "&amp;"0"&amp; 'Guru Kirpa Customer Form'!E211)</f>
        <v>State Name: ,Code No. 0</v>
      </c>
    </row>
    <row r="252" spans="1:4" ht="18" x14ac:dyDescent="0.35">
      <c r="A252" s="54">
        <f>'Guru Kirpa Customer Form'!B212</f>
        <v>0</v>
      </c>
      <c r="B252" s="54" t="str">
        <f>IF('Guru Kirpa Customer Form'!F212&lt;&gt;"","GST No." &amp;'Guru Kirpa Customer Form'!F212,"Adhar No." &amp;'Guru Kirpa Customer Form'!G212)</f>
        <v>Adhar No.</v>
      </c>
      <c r="C252" s="54">
        <f t="shared" si="3"/>
        <v>0</v>
      </c>
      <c r="D252" s="54" t="str">
        <f>IF('Guru Kirpa Customer Form'!C212="Haryana","State Name:"&amp;" "&amp;"Haryana,Code No."&amp;" "&amp;"0"&amp;'Guru Kirpa Customer Form'!E212,"State Name:"&amp;" "&amp;'Guru Kirpa Customer Form'!C212&amp;",Code No."&amp;" "&amp;"0"&amp; 'Guru Kirpa Customer Form'!E212)</f>
        <v>State Name: ,Code No. 0</v>
      </c>
    </row>
    <row r="253" spans="1:4" ht="18" x14ac:dyDescent="0.35">
      <c r="A253" s="54">
        <f>'Guru Kirpa Customer Form'!B213</f>
        <v>0</v>
      </c>
      <c r="B253" s="54" t="str">
        <f>IF('Guru Kirpa Customer Form'!F213&lt;&gt;"","GST No." &amp;'Guru Kirpa Customer Form'!F213,"Adhar No." &amp;'Guru Kirpa Customer Form'!G213)</f>
        <v>Adhar No.</v>
      </c>
      <c r="C253" s="54">
        <f t="shared" si="3"/>
        <v>0</v>
      </c>
      <c r="D253" s="54" t="str">
        <f>IF('Guru Kirpa Customer Form'!C213="Haryana","State Name:"&amp;" "&amp;"Haryana,Code No."&amp;" "&amp;"0"&amp;'Guru Kirpa Customer Form'!E213,"State Name:"&amp;" "&amp;'Guru Kirpa Customer Form'!C213&amp;",Code No."&amp;" "&amp;"0"&amp; 'Guru Kirpa Customer Form'!E213)</f>
        <v>State Name: ,Code No. 0</v>
      </c>
    </row>
    <row r="254" spans="1:4" ht="18" x14ac:dyDescent="0.35">
      <c r="A254" s="54">
        <f>'Guru Kirpa Customer Form'!B214</f>
        <v>0</v>
      </c>
      <c r="B254" s="54" t="str">
        <f>IF('Guru Kirpa Customer Form'!F214&lt;&gt;"","GST No." &amp;'Guru Kirpa Customer Form'!F214,"Adhar No." &amp;'Guru Kirpa Customer Form'!G214)</f>
        <v>Adhar No.</v>
      </c>
      <c r="C254" s="54">
        <f t="shared" si="3"/>
        <v>0</v>
      </c>
      <c r="D254" s="54" t="str">
        <f>IF('Guru Kirpa Customer Form'!C214="Haryana","State Name:"&amp;" "&amp;"Haryana,Code No."&amp;" "&amp;"0"&amp;'Guru Kirpa Customer Form'!E214,"State Name:"&amp;" "&amp;'Guru Kirpa Customer Form'!C214&amp;",Code No."&amp;" "&amp;"0"&amp; 'Guru Kirpa Customer Form'!E214)</f>
        <v>State Name: ,Code No. 0</v>
      </c>
    </row>
    <row r="255" spans="1:4" ht="18" x14ac:dyDescent="0.35">
      <c r="A255" s="54">
        <f>'Guru Kirpa Customer Form'!B215</f>
        <v>0</v>
      </c>
      <c r="B255" s="54" t="str">
        <f>IF('Guru Kirpa Customer Form'!F215&lt;&gt;"","GST No." &amp;'Guru Kirpa Customer Form'!F215,"Adhar No." &amp;'Guru Kirpa Customer Form'!G215)</f>
        <v>Adhar No.</v>
      </c>
      <c r="C255" s="54">
        <f t="shared" si="3"/>
        <v>0</v>
      </c>
      <c r="D255" s="54" t="str">
        <f>IF('Guru Kirpa Customer Form'!C215="Haryana","State Name:"&amp;" "&amp;"Haryana,Code No."&amp;" "&amp;"0"&amp;'Guru Kirpa Customer Form'!E215,"State Name:"&amp;" "&amp;'Guru Kirpa Customer Form'!C215&amp;",Code No."&amp;" "&amp;"0"&amp; 'Guru Kirpa Customer Form'!E215)</f>
        <v>State Name: ,Code No. 0</v>
      </c>
    </row>
    <row r="256" spans="1:4" ht="18" x14ac:dyDescent="0.35">
      <c r="A256" s="54">
        <f>'Guru Kirpa Customer Form'!B216</f>
        <v>0</v>
      </c>
      <c r="B256" s="54" t="str">
        <f>IF('Guru Kirpa Customer Form'!F216&lt;&gt;"","GST No." &amp;'Guru Kirpa Customer Form'!F216,"Adhar No." &amp;'Guru Kirpa Customer Form'!G216)</f>
        <v>Adhar No.</v>
      </c>
      <c r="C256" s="54">
        <f t="shared" si="3"/>
        <v>0</v>
      </c>
      <c r="D256" s="54" t="str">
        <f>IF('Guru Kirpa Customer Form'!C216="Haryana","State Name:"&amp;" "&amp;"Haryana,Code No."&amp;" "&amp;"0"&amp;'Guru Kirpa Customer Form'!E216,"State Name:"&amp;" "&amp;'Guru Kirpa Customer Form'!C216&amp;",Code No."&amp;" "&amp;"0"&amp; 'Guru Kirpa Customer Form'!E216)</f>
        <v>State Name: ,Code No. 0</v>
      </c>
    </row>
    <row r="257" spans="1:4" ht="18" x14ac:dyDescent="0.35">
      <c r="A257" s="54">
        <f>'Guru Kirpa Customer Form'!B217</f>
        <v>0</v>
      </c>
      <c r="B257" s="54" t="str">
        <f>IF('Guru Kirpa Customer Form'!F217&lt;&gt;"","GST No." &amp;'Guru Kirpa Customer Form'!F217,"Adhar No." &amp;'Guru Kirpa Customer Form'!G217)</f>
        <v>Adhar No.</v>
      </c>
      <c r="C257" s="54">
        <f t="shared" si="3"/>
        <v>0</v>
      </c>
      <c r="D257" s="54" t="str">
        <f>IF('Guru Kirpa Customer Form'!C217="Haryana","State Name:"&amp;" "&amp;"Haryana,Code No."&amp;" "&amp;"0"&amp;'Guru Kirpa Customer Form'!E217,"State Name:"&amp;" "&amp;'Guru Kirpa Customer Form'!C217&amp;",Code No."&amp;" "&amp;"0"&amp; 'Guru Kirpa Customer Form'!E217)</f>
        <v>State Name: ,Code No. 0</v>
      </c>
    </row>
    <row r="258" spans="1:4" ht="18" x14ac:dyDescent="0.35">
      <c r="A258" s="54">
        <f>'Guru Kirpa Customer Form'!B218</f>
        <v>0</v>
      </c>
      <c r="B258" s="54" t="str">
        <f>IF('Guru Kirpa Customer Form'!F218&lt;&gt;"","GST No." &amp;'Guru Kirpa Customer Form'!F218,"Adhar No." &amp;'Guru Kirpa Customer Form'!G218)</f>
        <v>Adhar No.</v>
      </c>
      <c r="C258" s="54">
        <f t="shared" si="3"/>
        <v>0</v>
      </c>
      <c r="D258" s="54" t="str">
        <f>IF('Guru Kirpa Customer Form'!C218="Haryana","State Name:"&amp;" "&amp;"Haryana,Code No."&amp;" "&amp;"0"&amp;'Guru Kirpa Customer Form'!E218,"State Name:"&amp;" "&amp;'Guru Kirpa Customer Form'!C218&amp;",Code No."&amp;" "&amp;"0"&amp; 'Guru Kirpa Customer Form'!E218)</f>
        <v>State Name: ,Code No. 0</v>
      </c>
    </row>
    <row r="259" spans="1:4" ht="18" x14ac:dyDescent="0.35">
      <c r="A259" s="54">
        <f>'Guru Kirpa Customer Form'!B219</f>
        <v>0</v>
      </c>
      <c r="B259" s="54" t="str">
        <f>IF('Guru Kirpa Customer Form'!F219&lt;&gt;"","GST No." &amp;'Guru Kirpa Customer Form'!F219,"Adhar No." &amp;'Guru Kirpa Customer Form'!G219)</f>
        <v>Adhar No.</v>
      </c>
      <c r="C259" s="54">
        <f t="shared" si="3"/>
        <v>0</v>
      </c>
      <c r="D259" s="54" t="str">
        <f>IF('Guru Kirpa Customer Form'!C219="Haryana","State Name:"&amp;" "&amp;"Haryana,Code No."&amp;" "&amp;"0"&amp;'Guru Kirpa Customer Form'!E219,"State Name:"&amp;" "&amp;'Guru Kirpa Customer Form'!C219&amp;",Code No."&amp;" "&amp;"0"&amp; 'Guru Kirpa Customer Form'!E219)</f>
        <v>State Name: ,Code No. 0</v>
      </c>
    </row>
    <row r="260" spans="1:4" ht="18" x14ac:dyDescent="0.35">
      <c r="A260" s="54">
        <f>'Guru Kirpa Customer Form'!B220</f>
        <v>0</v>
      </c>
      <c r="B260" s="54" t="str">
        <f>IF('Guru Kirpa Customer Form'!F220&lt;&gt;"","GST No." &amp;'Guru Kirpa Customer Form'!F220,"Adhar No." &amp;'Guru Kirpa Customer Form'!G220)</f>
        <v>Adhar No.</v>
      </c>
      <c r="C260" s="54">
        <f t="shared" si="3"/>
        <v>0</v>
      </c>
      <c r="D260" s="54" t="str">
        <f>IF('Guru Kirpa Customer Form'!C220="Haryana","State Name:"&amp;" "&amp;"Haryana,Code No."&amp;" "&amp;"0"&amp;'Guru Kirpa Customer Form'!E220,"State Name:"&amp;" "&amp;'Guru Kirpa Customer Form'!C220&amp;",Code No."&amp;" "&amp;"0"&amp; 'Guru Kirpa Customer Form'!E220)</f>
        <v>State Name: ,Code No. 0</v>
      </c>
    </row>
    <row r="261" spans="1:4" ht="18" x14ac:dyDescent="0.35">
      <c r="A261" s="54">
        <f>'Guru Kirpa Customer Form'!B221</f>
        <v>0</v>
      </c>
      <c r="B261" s="54" t="str">
        <f>IF('Guru Kirpa Customer Form'!F221&lt;&gt;"","GST No." &amp;'Guru Kirpa Customer Form'!F221,"Adhar No." &amp;'Guru Kirpa Customer Form'!G221)</f>
        <v>Adhar No.</v>
      </c>
      <c r="C261" s="54">
        <f t="shared" si="3"/>
        <v>0</v>
      </c>
      <c r="D261" s="54" t="str">
        <f>IF('Guru Kirpa Customer Form'!C221="Haryana","State Name:"&amp;" "&amp;"Haryana,Code No."&amp;" "&amp;"0"&amp;'Guru Kirpa Customer Form'!E221,"State Name:"&amp;" "&amp;'Guru Kirpa Customer Form'!C221&amp;",Code No."&amp;" "&amp;"0"&amp; 'Guru Kirpa Customer Form'!E221)</f>
        <v>State Name: ,Code No. 0</v>
      </c>
    </row>
    <row r="262" spans="1:4" ht="18" x14ac:dyDescent="0.35">
      <c r="A262" s="54">
        <f>'Guru Kirpa Customer Form'!B222</f>
        <v>0</v>
      </c>
      <c r="B262" s="54" t="str">
        <f>IF('Guru Kirpa Customer Form'!F222&lt;&gt;"","GST No." &amp;'Guru Kirpa Customer Form'!F222,"Adhar No." &amp;'Guru Kirpa Customer Form'!G222)</f>
        <v>Adhar No.</v>
      </c>
      <c r="C262" s="54">
        <f t="shared" si="3"/>
        <v>0</v>
      </c>
      <c r="D262" s="54" t="str">
        <f>IF('Guru Kirpa Customer Form'!C222="Haryana","State Name:"&amp;" "&amp;"Haryana,Code No."&amp;" "&amp;"0"&amp;'Guru Kirpa Customer Form'!E222,"State Name:"&amp;" "&amp;'Guru Kirpa Customer Form'!C222&amp;",Code No."&amp;" "&amp;"0"&amp; 'Guru Kirpa Customer Form'!E222)</f>
        <v>State Name: ,Code No. 0</v>
      </c>
    </row>
    <row r="263" spans="1:4" ht="18" x14ac:dyDescent="0.35">
      <c r="A263" s="54">
        <f>'Guru Kirpa Customer Form'!B223</f>
        <v>0</v>
      </c>
      <c r="B263" s="54" t="str">
        <f>IF('Guru Kirpa Customer Form'!F223&lt;&gt;"","GST No." &amp;'Guru Kirpa Customer Form'!F223,"Adhar No." &amp;'Guru Kirpa Customer Form'!G223)</f>
        <v>Adhar No.</v>
      </c>
      <c r="C263" s="54">
        <f t="shared" si="3"/>
        <v>0</v>
      </c>
      <c r="D263" s="54" t="str">
        <f>IF('Guru Kirpa Customer Form'!C223="Haryana","State Name:"&amp;" "&amp;"Haryana,Code No."&amp;" "&amp;"0"&amp;'Guru Kirpa Customer Form'!E223,"State Name:"&amp;" "&amp;'Guru Kirpa Customer Form'!C223&amp;",Code No."&amp;" "&amp;"0"&amp; 'Guru Kirpa Customer Form'!E223)</f>
        <v>State Name: ,Code No. 0</v>
      </c>
    </row>
    <row r="264" spans="1:4" ht="18" x14ac:dyDescent="0.35">
      <c r="A264" s="54">
        <f>'Guru Kirpa Customer Form'!B224</f>
        <v>0</v>
      </c>
      <c r="B264" s="54" t="str">
        <f>IF('Guru Kirpa Customer Form'!F224&lt;&gt;"","GST No." &amp;'Guru Kirpa Customer Form'!F224,"Adhar No." &amp;'Guru Kirpa Customer Form'!G224)</f>
        <v>Adhar No.</v>
      </c>
      <c r="C264" s="54">
        <f t="shared" si="3"/>
        <v>0</v>
      </c>
      <c r="D264" s="54" t="str">
        <f>IF('Guru Kirpa Customer Form'!C224="Haryana","State Name:"&amp;" "&amp;"Haryana,Code No."&amp;" "&amp;"0"&amp;'Guru Kirpa Customer Form'!E224,"State Name:"&amp;" "&amp;'Guru Kirpa Customer Form'!C224&amp;",Code No."&amp;" "&amp;"0"&amp; 'Guru Kirpa Customer Form'!E224)</f>
        <v>State Name: ,Code No. 0</v>
      </c>
    </row>
    <row r="265" spans="1:4" ht="18" x14ac:dyDescent="0.35">
      <c r="A265" s="54">
        <f>'Guru Kirpa Customer Form'!B225</f>
        <v>0</v>
      </c>
      <c r="B265" s="54" t="str">
        <f>IF('Guru Kirpa Customer Form'!F225&lt;&gt;"","GST No." &amp;'Guru Kirpa Customer Form'!F225,"Adhar No." &amp;'Guru Kirpa Customer Form'!G225)</f>
        <v>Adhar No.</v>
      </c>
      <c r="C265" s="54">
        <f t="shared" si="3"/>
        <v>0</v>
      </c>
      <c r="D265" s="54" t="str">
        <f>IF('Guru Kirpa Customer Form'!C225="Haryana","State Name:"&amp;" "&amp;"Haryana,Code No."&amp;" "&amp;"0"&amp;'Guru Kirpa Customer Form'!E225,"State Name:"&amp;" "&amp;'Guru Kirpa Customer Form'!C225&amp;",Code No."&amp;" "&amp;"0"&amp; 'Guru Kirpa Customer Form'!E225)</f>
        <v>State Name: ,Code No. 0</v>
      </c>
    </row>
    <row r="266" spans="1:4" ht="18" x14ac:dyDescent="0.35">
      <c r="A266" s="54">
        <f>'Guru Kirpa Customer Form'!B226</f>
        <v>0</v>
      </c>
      <c r="B266" s="54" t="str">
        <f>IF('Guru Kirpa Customer Form'!F226&lt;&gt;"","GST No." &amp;'Guru Kirpa Customer Form'!F226,"Adhar No." &amp;'Guru Kirpa Customer Form'!G226)</f>
        <v>Adhar No.</v>
      </c>
      <c r="C266" s="54">
        <f t="shared" si="3"/>
        <v>0</v>
      </c>
      <c r="D266" s="54" t="str">
        <f>IF('Guru Kirpa Customer Form'!C226="Haryana","State Name:"&amp;" "&amp;"Haryana,Code No."&amp;" "&amp;"0"&amp;'Guru Kirpa Customer Form'!E226,"State Name:"&amp;" "&amp;'Guru Kirpa Customer Form'!C226&amp;",Code No."&amp;" "&amp;"0"&amp; 'Guru Kirpa Customer Form'!E226)</f>
        <v>State Name: ,Code No. 0</v>
      </c>
    </row>
    <row r="267" spans="1:4" ht="18" x14ac:dyDescent="0.35">
      <c r="A267" s="54">
        <f>'Guru Kirpa Customer Form'!B227</f>
        <v>0</v>
      </c>
      <c r="B267" s="54" t="str">
        <f>IF('Guru Kirpa Customer Form'!F227&lt;&gt;"","GST No." &amp;'Guru Kirpa Customer Form'!F227,"Adhar No." &amp;'Guru Kirpa Customer Form'!G227)</f>
        <v>Adhar No.</v>
      </c>
      <c r="C267" s="54">
        <f t="shared" si="3"/>
        <v>0</v>
      </c>
      <c r="D267" s="54" t="str">
        <f>IF('Guru Kirpa Customer Form'!C227="Haryana","State Name:"&amp;" "&amp;"Haryana,Code No."&amp;" "&amp;"0"&amp;'Guru Kirpa Customer Form'!E227,"State Name:"&amp;" "&amp;'Guru Kirpa Customer Form'!C227&amp;",Code No."&amp;" "&amp;"0"&amp; 'Guru Kirpa Customer Form'!E227)</f>
        <v>State Name: ,Code No. 0</v>
      </c>
    </row>
    <row r="268" spans="1:4" ht="18" x14ac:dyDescent="0.35">
      <c r="A268" s="54">
        <f>'Guru Kirpa Customer Form'!B228</f>
        <v>0</v>
      </c>
      <c r="B268" s="54" t="str">
        <f>IF('Guru Kirpa Customer Form'!F228&lt;&gt;"","GST No." &amp;'Guru Kirpa Customer Form'!F228,"Adhar No." &amp;'Guru Kirpa Customer Form'!G228)</f>
        <v>Adhar No.</v>
      </c>
      <c r="C268" s="54">
        <f t="shared" si="3"/>
        <v>0</v>
      </c>
      <c r="D268" s="54" t="str">
        <f>IF('Guru Kirpa Customer Form'!C228="Haryana","State Name:"&amp;" "&amp;"Haryana,Code No."&amp;" "&amp;"0"&amp;'Guru Kirpa Customer Form'!E228,"State Name:"&amp;" "&amp;'Guru Kirpa Customer Form'!C228&amp;",Code No."&amp;" "&amp;"0"&amp; 'Guru Kirpa Customer Form'!E228)</f>
        <v>State Name: ,Code No. 0</v>
      </c>
    </row>
    <row r="269" spans="1:4" ht="18" x14ac:dyDescent="0.35">
      <c r="A269" s="54">
        <f>'Guru Kirpa Customer Form'!B229</f>
        <v>0</v>
      </c>
      <c r="B269" s="54" t="str">
        <f>IF('Guru Kirpa Customer Form'!F229&lt;&gt;"","GST No." &amp;'Guru Kirpa Customer Form'!F229,"Adhar No." &amp;'Guru Kirpa Customer Form'!G229)</f>
        <v>Adhar No.</v>
      </c>
      <c r="C269" s="54">
        <f t="shared" si="3"/>
        <v>0</v>
      </c>
      <c r="D269" s="54" t="str">
        <f>IF('Guru Kirpa Customer Form'!C229="Haryana","State Name:"&amp;" "&amp;"Haryana,Code No."&amp;" "&amp;"0"&amp;'Guru Kirpa Customer Form'!E229,"State Name:"&amp;" "&amp;'Guru Kirpa Customer Form'!C229&amp;",Code No."&amp;" "&amp;"0"&amp; 'Guru Kirpa Customer Form'!E229)</f>
        <v>State Name: ,Code No. 0</v>
      </c>
    </row>
    <row r="270" spans="1:4" ht="18" x14ac:dyDescent="0.35">
      <c r="A270" s="54">
        <f>'Guru Kirpa Customer Form'!B230</f>
        <v>0</v>
      </c>
      <c r="B270" s="54" t="str">
        <f>IF('Guru Kirpa Customer Form'!F230&lt;&gt;"","GST No." &amp;'Guru Kirpa Customer Form'!F230,"Adhar No." &amp;'Guru Kirpa Customer Form'!G230)</f>
        <v>Adhar No.</v>
      </c>
      <c r="C270" s="54">
        <f t="shared" si="3"/>
        <v>0</v>
      </c>
      <c r="D270" s="54" t="str">
        <f>IF('Guru Kirpa Customer Form'!C230="Haryana","State Name:"&amp;" "&amp;"Haryana,Code No."&amp;" "&amp;"0"&amp;'Guru Kirpa Customer Form'!E230,"State Name:"&amp;" "&amp;'Guru Kirpa Customer Form'!C230&amp;",Code No."&amp;" "&amp;"0"&amp; 'Guru Kirpa Customer Form'!E230)</f>
        <v>State Name: ,Code No. 0</v>
      </c>
    </row>
    <row r="271" spans="1:4" ht="18" x14ac:dyDescent="0.35">
      <c r="A271" s="54">
        <f>'Guru Kirpa Customer Form'!B231</f>
        <v>0</v>
      </c>
      <c r="B271" s="54" t="str">
        <f>IF('Guru Kirpa Customer Form'!F231&lt;&gt;"","GST No." &amp;'Guru Kirpa Customer Form'!F231,"Adhar No." &amp;'Guru Kirpa Customer Form'!G231)</f>
        <v>Adhar No.</v>
      </c>
      <c r="C271" s="54">
        <f t="shared" si="3"/>
        <v>0</v>
      </c>
      <c r="D271" s="54" t="str">
        <f>IF('Guru Kirpa Customer Form'!C231="Haryana","State Name:"&amp;" "&amp;"Haryana,Code No."&amp;" "&amp;"0"&amp;'Guru Kirpa Customer Form'!E231,"State Name:"&amp;" "&amp;'Guru Kirpa Customer Form'!C231&amp;",Code No."&amp;" "&amp;"0"&amp; 'Guru Kirpa Customer Form'!E231)</f>
        <v>State Name: ,Code No. 0</v>
      </c>
    </row>
    <row r="272" spans="1:4" ht="18" x14ac:dyDescent="0.35">
      <c r="A272" s="54">
        <f>'Guru Kirpa Customer Form'!B232</f>
        <v>0</v>
      </c>
      <c r="B272" s="54" t="str">
        <f>IF('Guru Kirpa Customer Form'!F232&lt;&gt;"","GST No." &amp;'Guru Kirpa Customer Form'!F232,"Adhar No." &amp;'Guru Kirpa Customer Form'!G232)</f>
        <v>Adhar No.</v>
      </c>
      <c r="C272" s="54">
        <f t="shared" si="3"/>
        <v>0</v>
      </c>
      <c r="D272" s="54" t="str">
        <f>IF('Guru Kirpa Customer Form'!C232="Haryana","State Name:"&amp;" "&amp;"Haryana,Code No."&amp;" "&amp;"0"&amp;'Guru Kirpa Customer Form'!E232,"State Name:"&amp;" "&amp;'Guru Kirpa Customer Form'!C232&amp;",Code No."&amp;" "&amp;"0"&amp; 'Guru Kirpa Customer Form'!E232)</f>
        <v>State Name: ,Code No. 0</v>
      </c>
    </row>
    <row r="273" spans="1:4" ht="18" x14ac:dyDescent="0.35">
      <c r="A273" s="54">
        <f>'Guru Kirpa Customer Form'!B233</f>
        <v>0</v>
      </c>
      <c r="B273" s="54" t="str">
        <f>IF('Guru Kirpa Customer Form'!F233&lt;&gt;"","GST No." &amp;'Guru Kirpa Customer Form'!F233,"Adhar No." &amp;'Guru Kirpa Customer Form'!G233)</f>
        <v>Adhar No.</v>
      </c>
      <c r="C273" s="54">
        <f t="shared" si="3"/>
        <v>0</v>
      </c>
      <c r="D273" s="54" t="str">
        <f>IF('Guru Kirpa Customer Form'!C233="Haryana","State Name:"&amp;" "&amp;"Haryana,Code No."&amp;" "&amp;"0"&amp;'Guru Kirpa Customer Form'!E233,"State Name:"&amp;" "&amp;'Guru Kirpa Customer Form'!C233&amp;",Code No."&amp;" "&amp;"0"&amp; 'Guru Kirpa Customer Form'!E233)</f>
        <v>State Name: ,Code No. 0</v>
      </c>
    </row>
    <row r="274" spans="1:4" ht="18" x14ac:dyDescent="0.35">
      <c r="A274" s="54">
        <f>'Guru Kirpa Customer Form'!B234</f>
        <v>0</v>
      </c>
      <c r="B274" s="54" t="str">
        <f>IF('Guru Kirpa Customer Form'!F234&lt;&gt;"","GST No." &amp;'Guru Kirpa Customer Form'!F234,"Adhar No." &amp;'Guru Kirpa Customer Form'!G234)</f>
        <v>Adhar No.</v>
      </c>
      <c r="C274" s="54">
        <f t="shared" si="3"/>
        <v>0</v>
      </c>
      <c r="D274" s="54" t="str">
        <f>IF('Guru Kirpa Customer Form'!C234="Haryana","State Name:"&amp;" "&amp;"Haryana,Code No."&amp;" "&amp;"0"&amp;'Guru Kirpa Customer Form'!E234,"State Name:"&amp;" "&amp;'Guru Kirpa Customer Form'!C234&amp;",Code No."&amp;" "&amp;"0"&amp; 'Guru Kirpa Customer Form'!E234)</f>
        <v>State Name: ,Code No. 0</v>
      </c>
    </row>
    <row r="275" spans="1:4" ht="18" x14ac:dyDescent="0.35">
      <c r="A275" s="54">
        <f>'Guru Kirpa Customer Form'!B235</f>
        <v>0</v>
      </c>
      <c r="B275" s="54" t="str">
        <f>IF('Guru Kirpa Customer Form'!F235&lt;&gt;"","GST No." &amp;'Guru Kirpa Customer Form'!F235,"Adhar No." &amp;'Guru Kirpa Customer Form'!G235)</f>
        <v>Adhar No.</v>
      </c>
      <c r="C275" s="54">
        <f t="shared" si="3"/>
        <v>0</v>
      </c>
      <c r="D275" s="54" t="str">
        <f>IF('Guru Kirpa Customer Form'!C235="Haryana","State Name:"&amp;" "&amp;"Haryana,Code No."&amp;" "&amp;"0"&amp;'Guru Kirpa Customer Form'!E235,"State Name:"&amp;" "&amp;'Guru Kirpa Customer Form'!C235&amp;",Code No."&amp;" "&amp;"0"&amp; 'Guru Kirpa Customer Form'!E235)</f>
        <v>State Name: ,Code No. 0</v>
      </c>
    </row>
    <row r="276" spans="1:4" ht="18" x14ac:dyDescent="0.35">
      <c r="A276" s="54">
        <f>'Guru Kirpa Customer Form'!B236</f>
        <v>0</v>
      </c>
      <c r="B276" s="54" t="str">
        <f>IF('Guru Kirpa Customer Form'!F236&lt;&gt;"","GST No." &amp;'Guru Kirpa Customer Form'!F236,"Adhar No." &amp;'Guru Kirpa Customer Form'!G236)</f>
        <v>Adhar No.</v>
      </c>
      <c r="C276" s="54">
        <f t="shared" si="3"/>
        <v>0</v>
      </c>
      <c r="D276" s="54" t="str">
        <f>IF('Guru Kirpa Customer Form'!C236="Haryana","State Name:"&amp;" "&amp;"Haryana,Code No."&amp;" "&amp;"0"&amp;'Guru Kirpa Customer Form'!E236,"State Name:"&amp;" "&amp;'Guru Kirpa Customer Form'!C236&amp;",Code No."&amp;" "&amp;"0"&amp; 'Guru Kirpa Customer Form'!E236)</f>
        <v>State Name: ,Code No. 0</v>
      </c>
    </row>
    <row r="277" spans="1:4" ht="18" x14ac:dyDescent="0.35">
      <c r="A277" s="54">
        <f>'Guru Kirpa Customer Form'!B237</f>
        <v>0</v>
      </c>
      <c r="B277" s="54" t="str">
        <f>IF('Guru Kirpa Customer Form'!F237&lt;&gt;"","GST No." &amp;'Guru Kirpa Customer Form'!F237,"Adhar No." &amp;'Guru Kirpa Customer Form'!G237)</f>
        <v>Adhar No.</v>
      </c>
      <c r="C277" s="54">
        <f t="shared" si="3"/>
        <v>0</v>
      </c>
      <c r="D277" s="54" t="str">
        <f>IF('Guru Kirpa Customer Form'!C237="Haryana","State Name:"&amp;" "&amp;"Haryana,Code No."&amp;" "&amp;"0"&amp;'Guru Kirpa Customer Form'!E237,"State Name:"&amp;" "&amp;'Guru Kirpa Customer Form'!C237&amp;",Code No."&amp;" "&amp;"0"&amp; 'Guru Kirpa Customer Form'!E237)</f>
        <v>State Name: ,Code No. 0</v>
      </c>
    </row>
    <row r="278" spans="1:4" ht="18" x14ac:dyDescent="0.35">
      <c r="A278" s="54">
        <f>'Guru Kirpa Customer Form'!B238</f>
        <v>0</v>
      </c>
      <c r="B278" s="54" t="str">
        <f>IF('Guru Kirpa Customer Form'!F238&lt;&gt;"","GST No." &amp;'Guru Kirpa Customer Form'!F238,"Adhar No." &amp;'Guru Kirpa Customer Form'!G238)</f>
        <v>Adhar No.</v>
      </c>
      <c r="C278" s="54">
        <f t="shared" si="3"/>
        <v>0</v>
      </c>
      <c r="D278" s="54" t="str">
        <f>IF('Guru Kirpa Customer Form'!C238="Haryana","State Name:"&amp;" "&amp;"Haryana,Code No."&amp;" "&amp;"0"&amp;'Guru Kirpa Customer Form'!E238,"State Name:"&amp;" "&amp;'Guru Kirpa Customer Form'!C238&amp;",Code No."&amp;" "&amp;"0"&amp; 'Guru Kirpa Customer Form'!E238)</f>
        <v>State Name: ,Code No. 0</v>
      </c>
    </row>
    <row r="279" spans="1:4" ht="18" x14ac:dyDescent="0.35">
      <c r="A279" s="54">
        <f>'Guru Kirpa Customer Form'!B239</f>
        <v>0</v>
      </c>
      <c r="B279" s="54" t="str">
        <f>IF('Guru Kirpa Customer Form'!F239&lt;&gt;"","GST No." &amp;'Guru Kirpa Customer Form'!F239,"Adhar No." &amp;'Guru Kirpa Customer Form'!G239)</f>
        <v>Adhar No.</v>
      </c>
      <c r="C279" s="54">
        <f t="shared" si="3"/>
        <v>0</v>
      </c>
      <c r="D279" s="54" t="str">
        <f>IF('Guru Kirpa Customer Form'!C239="Haryana","State Name:"&amp;" "&amp;"Haryana,Code No."&amp;" "&amp;"0"&amp;'Guru Kirpa Customer Form'!E239,"State Name:"&amp;" "&amp;'Guru Kirpa Customer Form'!C239&amp;",Code No."&amp;" "&amp;"0"&amp; 'Guru Kirpa Customer Form'!E239)</f>
        <v>State Name: ,Code No. 0</v>
      </c>
    </row>
    <row r="280" spans="1:4" ht="18" x14ac:dyDescent="0.35">
      <c r="A280" s="54">
        <f>'Guru Kirpa Customer Form'!B240</f>
        <v>0</v>
      </c>
      <c r="B280" s="54" t="str">
        <f>IF('Guru Kirpa Customer Form'!F240&lt;&gt;"","GST No." &amp;'Guru Kirpa Customer Form'!F240,"Adhar No." &amp;'Guru Kirpa Customer Form'!G240)</f>
        <v>Adhar No.</v>
      </c>
      <c r="C280" s="54">
        <f t="shared" si="3"/>
        <v>0</v>
      </c>
      <c r="D280" s="54" t="str">
        <f>IF('Guru Kirpa Customer Form'!C240="Haryana","State Name:"&amp;" "&amp;"Haryana,Code No."&amp;" "&amp;"0"&amp;'Guru Kirpa Customer Form'!E240,"State Name:"&amp;" "&amp;'Guru Kirpa Customer Form'!C240&amp;",Code No."&amp;" "&amp;"0"&amp; 'Guru Kirpa Customer Form'!E240)</f>
        <v>State Name: ,Code No. 0</v>
      </c>
    </row>
    <row r="281" spans="1:4" ht="18" x14ac:dyDescent="0.35">
      <c r="A281" s="54">
        <f>'Guru Kirpa Customer Form'!B241</f>
        <v>0</v>
      </c>
      <c r="B281" s="54" t="str">
        <f>IF('Guru Kirpa Customer Form'!F241&lt;&gt;"","GST No." &amp;'Guru Kirpa Customer Form'!F241,"Adhar No." &amp;'Guru Kirpa Customer Form'!G241)</f>
        <v>Adhar No.</v>
      </c>
      <c r="C281" s="54">
        <f t="shared" si="3"/>
        <v>0</v>
      </c>
      <c r="D281" s="54" t="str">
        <f>IF('Guru Kirpa Customer Form'!C241="Haryana","State Name:"&amp;" "&amp;"Haryana,Code No."&amp;" "&amp;"0"&amp;'Guru Kirpa Customer Form'!E241,"State Name:"&amp;" "&amp;'Guru Kirpa Customer Form'!C241&amp;",Code No."&amp;" "&amp;"0"&amp; 'Guru Kirpa Customer Form'!E241)</f>
        <v>State Name: ,Code No. 0</v>
      </c>
    </row>
    <row r="282" spans="1:4" ht="18" x14ac:dyDescent="0.35">
      <c r="A282" s="54">
        <f>'Guru Kirpa Customer Form'!B242</f>
        <v>0</v>
      </c>
      <c r="B282" s="54" t="str">
        <f>IF('Guru Kirpa Customer Form'!F242&lt;&gt;"","GST No." &amp;'Guru Kirpa Customer Form'!F242,"Adhar No." &amp;'Guru Kirpa Customer Form'!G242)</f>
        <v>Adhar No.</v>
      </c>
      <c r="C282" s="54">
        <f t="shared" si="3"/>
        <v>0</v>
      </c>
      <c r="D282" s="54" t="str">
        <f>IF('Guru Kirpa Customer Form'!C242="Haryana","State Name:"&amp;" "&amp;"Haryana,Code No."&amp;" "&amp;"0"&amp;'Guru Kirpa Customer Form'!E242,"State Name:"&amp;" "&amp;'Guru Kirpa Customer Form'!C242&amp;",Code No."&amp;" "&amp;"0"&amp; 'Guru Kirpa Customer Form'!E242)</f>
        <v>State Name: ,Code No. 0</v>
      </c>
    </row>
    <row r="283" spans="1:4" ht="18" x14ac:dyDescent="0.35">
      <c r="A283" s="54">
        <f>'Guru Kirpa Customer Form'!B243</f>
        <v>0</v>
      </c>
      <c r="B283" s="54" t="str">
        <f>IF('Guru Kirpa Customer Form'!F243&lt;&gt;"","GST No." &amp;'Guru Kirpa Customer Form'!F243,"Adhar No." &amp;'Guru Kirpa Customer Form'!G243)</f>
        <v>Adhar No.</v>
      </c>
      <c r="C283" s="54">
        <f t="shared" si="3"/>
        <v>0</v>
      </c>
      <c r="D283" s="54" t="str">
        <f>IF('Guru Kirpa Customer Form'!C243="Haryana","State Name:"&amp;" "&amp;"Haryana,Code No."&amp;" "&amp;"0"&amp;'Guru Kirpa Customer Form'!E243,"State Name:"&amp;" "&amp;'Guru Kirpa Customer Form'!C243&amp;",Code No."&amp;" "&amp;"0"&amp; 'Guru Kirpa Customer Form'!E243)</f>
        <v>State Name: ,Code No. 0</v>
      </c>
    </row>
    <row r="284" spans="1:4" ht="18" x14ac:dyDescent="0.35">
      <c r="A284" s="54">
        <f>'Guru Kirpa Customer Form'!B244</f>
        <v>0</v>
      </c>
      <c r="B284" s="54" t="str">
        <f>IF('Guru Kirpa Customer Form'!F244&lt;&gt;"","GST No." &amp;'Guru Kirpa Customer Form'!F244,"Adhar No." &amp;'Guru Kirpa Customer Form'!G244)</f>
        <v>Adhar No.</v>
      </c>
      <c r="C284" s="54">
        <f t="shared" si="3"/>
        <v>0</v>
      </c>
      <c r="D284" s="54" t="str">
        <f>IF('Guru Kirpa Customer Form'!C244="Haryana","State Name:"&amp;" "&amp;"Haryana,Code No."&amp;" "&amp;"0"&amp;'Guru Kirpa Customer Form'!E244,"State Name:"&amp;" "&amp;'Guru Kirpa Customer Form'!C244&amp;",Code No."&amp;" "&amp;"0"&amp; 'Guru Kirpa Customer Form'!E244)</f>
        <v>State Name: ,Code No. 0</v>
      </c>
    </row>
    <row r="285" spans="1:4" ht="18" x14ac:dyDescent="0.35">
      <c r="A285" s="54">
        <f>'Guru Kirpa Customer Form'!B245</f>
        <v>0</v>
      </c>
      <c r="B285" s="54" t="str">
        <f>IF('Guru Kirpa Customer Form'!F245&lt;&gt;"","GST No." &amp;'Guru Kirpa Customer Form'!F245,"Adhar No." &amp;'Guru Kirpa Customer Form'!G245)</f>
        <v>Adhar No.</v>
      </c>
      <c r="C285" s="54">
        <f t="shared" si="3"/>
        <v>0</v>
      </c>
      <c r="D285" s="54" t="str">
        <f>IF('Guru Kirpa Customer Form'!C245="Haryana","State Name:"&amp;" "&amp;"Haryana,Code No."&amp;" "&amp;"0"&amp;'Guru Kirpa Customer Form'!E245,"State Name:"&amp;" "&amp;'Guru Kirpa Customer Form'!C245&amp;",Code No."&amp;" "&amp;"0"&amp; 'Guru Kirpa Customer Form'!E245)</f>
        <v>State Name: ,Code No. 0</v>
      </c>
    </row>
    <row r="286" spans="1:4" ht="18" x14ac:dyDescent="0.35">
      <c r="A286" s="54">
        <f>'Guru Kirpa Customer Form'!B246</f>
        <v>0</v>
      </c>
      <c r="B286" s="54" t="str">
        <f>IF('Guru Kirpa Customer Form'!F246&lt;&gt;"","GST No." &amp;'Guru Kirpa Customer Form'!F246,"Adhar No." &amp;'Guru Kirpa Customer Form'!G246)</f>
        <v>Adhar No.</v>
      </c>
      <c r="C286" s="54">
        <f t="shared" si="3"/>
        <v>0</v>
      </c>
      <c r="D286" s="54" t="str">
        <f>IF('Guru Kirpa Customer Form'!C246="Haryana","State Name:"&amp;" "&amp;"Haryana,Code No."&amp;" "&amp;"0"&amp;'Guru Kirpa Customer Form'!E246,"State Name:"&amp;" "&amp;'Guru Kirpa Customer Form'!C246&amp;",Code No."&amp;" "&amp;"0"&amp; 'Guru Kirpa Customer Form'!E246)</f>
        <v>State Name: ,Code No. 0</v>
      </c>
    </row>
    <row r="287" spans="1:4" ht="18" x14ac:dyDescent="0.35">
      <c r="A287" s="54">
        <f>'Guru Kirpa Customer Form'!B247</f>
        <v>0</v>
      </c>
      <c r="B287" s="54" t="str">
        <f>IF('Guru Kirpa Customer Form'!F247&lt;&gt;"","GST No." &amp;'Guru Kirpa Customer Form'!F247,"Adhar No." &amp;'Guru Kirpa Customer Form'!G247)</f>
        <v>Adhar No.</v>
      </c>
      <c r="C287" s="54">
        <f t="shared" si="3"/>
        <v>0</v>
      </c>
      <c r="D287" s="54" t="str">
        <f>IF('Guru Kirpa Customer Form'!C247="Haryana","State Name:"&amp;" "&amp;"Haryana,Code No."&amp;" "&amp;"0"&amp;'Guru Kirpa Customer Form'!E247,"State Name:"&amp;" "&amp;'Guru Kirpa Customer Form'!C247&amp;",Code No."&amp;" "&amp;"0"&amp; 'Guru Kirpa Customer Form'!E247)</f>
        <v>State Name: ,Code No. 0</v>
      </c>
    </row>
    <row r="288" spans="1:4" ht="18" x14ac:dyDescent="0.35">
      <c r="A288" s="54">
        <f>'Guru Kirpa Customer Form'!B248</f>
        <v>0</v>
      </c>
      <c r="B288" s="54" t="str">
        <f>IF('Guru Kirpa Customer Form'!F248&lt;&gt;"","GST No." &amp;'Guru Kirpa Customer Form'!F248,"Adhar No." &amp;'Guru Kirpa Customer Form'!G248)</f>
        <v>Adhar No.</v>
      </c>
      <c r="C288" s="54"/>
      <c r="D288" s="54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Guru kirpa beverage invoice bil</vt:lpstr>
      <vt:lpstr>Zeera Bill</vt:lpstr>
      <vt:lpstr>Bill detail</vt:lpstr>
      <vt:lpstr>Guru Kirpa Customer Form</vt:lpstr>
      <vt:lpstr>Customer address</vt:lpstr>
      <vt:lpstr>Customer 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saini</dc:creator>
  <cp:lastModifiedBy>rajesh saini</cp:lastModifiedBy>
  <cp:lastPrinted>2025-04-16T12:08:15Z</cp:lastPrinted>
  <dcterms:created xsi:type="dcterms:W3CDTF">2024-10-24T10:07:30Z</dcterms:created>
  <dcterms:modified xsi:type="dcterms:W3CDTF">2025-04-17T01:24:58Z</dcterms:modified>
</cp:coreProperties>
</file>